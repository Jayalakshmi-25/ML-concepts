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0" i="1" l="1"/>
  <c r="H199" i="1"/>
  <c r="H198" i="1"/>
  <c r="H197" i="1"/>
  <c r="J214" i="1"/>
  <c r="J213" i="1"/>
  <c r="J212" i="1"/>
  <c r="J211" i="1"/>
  <c r="J210" i="1"/>
  <c r="J209" i="1"/>
  <c r="J208" i="1"/>
  <c r="J207" i="1"/>
  <c r="J206" i="1"/>
  <c r="J205" i="1"/>
  <c r="L197" i="1"/>
  <c r="L196" i="1"/>
  <c r="L194" i="1"/>
  <c r="K194" i="1"/>
  <c r="J169" i="1"/>
  <c r="J168" i="1"/>
  <c r="J167" i="1"/>
  <c r="J166" i="1"/>
  <c r="J165" i="1"/>
  <c r="J164" i="1"/>
  <c r="J163" i="1"/>
  <c r="J162" i="1"/>
  <c r="J161" i="1"/>
  <c r="J160" i="1"/>
  <c r="K89" i="1"/>
  <c r="K88" i="1"/>
  <c r="K79" i="1"/>
  <c r="K80" i="1"/>
  <c r="K81" i="1"/>
  <c r="K82" i="1"/>
  <c r="K83" i="1"/>
  <c r="K84" i="1"/>
  <c r="K85" i="1"/>
  <c r="K86" i="1"/>
  <c r="K87" i="1"/>
  <c r="K78" i="1"/>
  <c r="J88" i="1"/>
  <c r="I88" i="1"/>
  <c r="I87" i="1"/>
  <c r="I86" i="1"/>
  <c r="I85" i="1"/>
  <c r="I84" i="1"/>
  <c r="I83" i="1"/>
  <c r="I82" i="1"/>
  <c r="I81" i="1"/>
  <c r="I80" i="1"/>
  <c r="I79" i="1"/>
  <c r="I78" i="1"/>
  <c r="G47" i="1"/>
</calcChain>
</file>

<file path=xl/sharedStrings.xml><?xml version="1.0" encoding="utf-8"?>
<sst xmlns="http://schemas.openxmlformats.org/spreadsheetml/2006/main" count="132" uniqueCount="62">
  <si>
    <t>XG Boosting Algorithm</t>
  </si>
  <si>
    <t>Logistic Regression Algorithm</t>
  </si>
  <si>
    <t>XG Boost Regression</t>
  </si>
  <si>
    <t>XG Boost Classification</t>
  </si>
  <si>
    <t>Student</t>
  </si>
  <si>
    <t>Study hours (X1)</t>
  </si>
  <si>
    <t>Practice tests (X2)</t>
  </si>
  <si>
    <t>Attendance (X3)</t>
  </si>
  <si>
    <t>Marks (Y)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</si>
  <si>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</si>
  <si>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</si>
  <si>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</si>
  <si>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</si>
  <si>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</si>
  <si>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</si>
  <si>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</si>
  <si>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</si>
  <si>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</si>
  <si>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</si>
  <si>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Loss Metrics</t>
  </si>
  <si>
    <t>Squred regression error</t>
  </si>
  <si>
    <t>Learning rate</t>
  </si>
  <si>
    <t>0.001-1</t>
  </si>
  <si>
    <t>Regularization penalty</t>
  </si>
  <si>
    <t>Lambda</t>
  </si>
  <si>
    <t>Gamma</t>
  </si>
  <si>
    <t>Split penalty</t>
  </si>
  <si>
    <t>max tree depth</t>
  </si>
  <si>
    <t>Boosting rounds</t>
  </si>
  <si>
    <t>Average</t>
  </si>
  <si>
    <t>Before constructing any tree what xg boost does is it thinks every prediction is equvilant of average</t>
  </si>
  <si>
    <t>gradient</t>
  </si>
  <si>
    <t>Hessian</t>
  </si>
  <si>
    <t xml:space="preserve">Sum </t>
  </si>
  <si>
    <t>Squared Error</t>
  </si>
  <si>
    <t>For decision tree classification</t>
  </si>
  <si>
    <t>Entropy and information gain</t>
  </si>
  <si>
    <t>decision tree regression</t>
  </si>
  <si>
    <t>coefficient of variation, standard deviation</t>
  </si>
  <si>
    <t>Gradient and hessian statistics to find the best split</t>
  </si>
  <si>
    <t>x1&lt;5.5</t>
  </si>
  <si>
    <t>x1&gt;=5.5</t>
  </si>
  <si>
    <t>x1&lt;=3.5</t>
  </si>
  <si>
    <t>x1&gt;6.5</t>
  </si>
  <si>
    <t>x1&lt;=1.5</t>
  </si>
  <si>
    <t>GL</t>
  </si>
  <si>
    <t>GR</t>
  </si>
  <si>
    <t>HL</t>
  </si>
  <si>
    <t>HR</t>
  </si>
  <si>
    <t>x1&lt;=4.5</t>
  </si>
  <si>
    <t xml:space="preserve">XG Boost </t>
  </si>
  <si>
    <t>Tree 1</t>
  </si>
  <si>
    <t>average tree</t>
  </si>
  <si>
    <t>Tree 2</t>
  </si>
  <si>
    <t>gradients and hessians to find a split that reduce the loss</t>
  </si>
  <si>
    <t>for the earlier split &lt;=5.5 we have added lambda and gamma as hyper parameters</t>
  </si>
  <si>
    <t>we will apply a learning rate to the old predictions to get the new predictred values</t>
  </si>
  <si>
    <t xml:space="preserve">Model 1 does split </t>
  </si>
  <si>
    <t>based on best Gain</t>
  </si>
  <si>
    <t>Post Gain calcuations we split into 2 parts</t>
  </si>
  <si>
    <t>for each part we calcuate new and old values</t>
  </si>
  <si>
    <t>and then update the predcited values with new values which is derived from learning rate and weights of each tree left side or right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</si>
</sst>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0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487680</xdr:colOff>
      <xdr:row>48</xdr:row>
      <xdr:rowOff>178526</xdr:rowOff>
    </xdr:from>
    <xdr:to>
      <xdr:col>8</xdr:col>
      <xdr:colOff>192096</xdr:colOff>
      <xdr:row>72</xdr:row>
      <xdr:rowOff>110320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" y="8956766"/>
          <a:ext cx="5852667" cy="4320914"/>
        </a:xfrm>
        <a:prstGeom prst="rect">
          <a:avLst/>
        </a:prstGeom>
      </xdr:spPr>
    </xdr:pic>
    <xdr:clientData/>
  </xdr:twoCellAnchor>
  <xdr:twoCellAnchor editAs="oneCell">
    <xdr:from>
      <xdr:col>2</xdr:col>
      <xdr:colOff>291737</xdr:colOff>
      <xdr:row>90</xdr:row>
      <xdr:rowOff>100148</xdr:rowOff>
    </xdr:from>
    <xdr:to>
      <xdr:col>10</xdr:col>
      <xdr:colOff>262982</xdr:colOff>
      <xdr:row>106</xdr:row>
      <xdr:rowOff>47057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937" y="16559348"/>
          <a:ext cx="7338696" cy="28729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8</xdr:col>
      <xdr:colOff>163768</xdr:colOff>
      <xdr:row>123</xdr:row>
      <xdr:rowOff>15321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8137" y="21762720"/>
          <a:ext cx="5563082" cy="929721"/>
        </a:xfrm>
        <a:prstGeom prst="rect">
          <a:avLst/>
        </a:prstGeom>
      </xdr:spPr>
    </xdr:pic>
    <xdr:clientData/>
  </xdr:twoCellAnchor>
  <xdr:twoCellAnchor>
    <xdr:from>
      <xdr:col>5</xdr:col>
      <xdr:colOff>269966</xdr:colOff>
      <xdr:row>118</xdr:row>
      <xdr:rowOff>115365</xdr:rowOff>
    </xdr:from>
    <xdr:to>
      <xdr:col>6</xdr:col>
      <xdr:colOff>52251</xdr:colOff>
      <xdr:row>122</xdr:row>
      <xdr:rowOff>143691</xdr:rowOff>
    </xdr:to>
    <xdr:sp macro="" textlink="">
      <xdr:nvSpPr>
        <xdr:cNvPr id="6" name="Freeform 5"/>
        <xdr:cNvSpPr/>
      </xdr:nvSpPr>
      <xdr:spPr>
        <a:xfrm>
          <a:off x="5090160" y="21878085"/>
          <a:ext cx="827314" cy="759846"/>
        </a:xfrm>
        <a:custGeom>
          <a:avLst/>
          <a:gdLst>
            <a:gd name="connsiteX0" fmla="*/ 317863 w 827314"/>
            <a:gd name="connsiteY0" fmla="*/ 2201 h 759846"/>
            <a:gd name="connsiteX1" fmla="*/ 283029 w 827314"/>
            <a:gd name="connsiteY1" fmla="*/ 6555 h 759846"/>
            <a:gd name="connsiteX2" fmla="*/ 252549 w 827314"/>
            <a:gd name="connsiteY2" fmla="*/ 15264 h 759846"/>
            <a:gd name="connsiteX3" fmla="*/ 209006 w 827314"/>
            <a:gd name="connsiteY3" fmla="*/ 23972 h 759846"/>
            <a:gd name="connsiteX4" fmla="*/ 165463 w 827314"/>
            <a:gd name="connsiteY4" fmla="*/ 37035 h 759846"/>
            <a:gd name="connsiteX5" fmla="*/ 152400 w 827314"/>
            <a:gd name="connsiteY5" fmla="*/ 41389 h 759846"/>
            <a:gd name="connsiteX6" fmla="*/ 126274 w 827314"/>
            <a:gd name="connsiteY6" fmla="*/ 54452 h 759846"/>
            <a:gd name="connsiteX7" fmla="*/ 113211 w 827314"/>
            <a:gd name="connsiteY7" fmla="*/ 63161 h 759846"/>
            <a:gd name="connsiteX8" fmla="*/ 82731 w 827314"/>
            <a:gd name="connsiteY8" fmla="*/ 84932 h 759846"/>
            <a:gd name="connsiteX9" fmla="*/ 52251 w 827314"/>
            <a:gd name="connsiteY9" fmla="*/ 128475 h 759846"/>
            <a:gd name="connsiteX10" fmla="*/ 47897 w 827314"/>
            <a:gd name="connsiteY10" fmla="*/ 145892 h 759846"/>
            <a:gd name="connsiteX11" fmla="*/ 30480 w 827314"/>
            <a:gd name="connsiteY11" fmla="*/ 172018 h 759846"/>
            <a:gd name="connsiteX12" fmla="*/ 17417 w 827314"/>
            <a:gd name="connsiteY12" fmla="*/ 224269 h 759846"/>
            <a:gd name="connsiteX13" fmla="*/ 13063 w 827314"/>
            <a:gd name="connsiteY13" fmla="*/ 241686 h 759846"/>
            <a:gd name="connsiteX14" fmla="*/ 8709 w 827314"/>
            <a:gd name="connsiteY14" fmla="*/ 254749 h 759846"/>
            <a:gd name="connsiteX15" fmla="*/ 0 w 827314"/>
            <a:gd name="connsiteY15" fmla="*/ 289584 h 759846"/>
            <a:gd name="connsiteX16" fmla="*/ 4354 w 827314"/>
            <a:gd name="connsiteY16" fmla="*/ 441984 h 759846"/>
            <a:gd name="connsiteX17" fmla="*/ 8709 w 827314"/>
            <a:gd name="connsiteY17" fmla="*/ 463755 h 759846"/>
            <a:gd name="connsiteX18" fmla="*/ 21771 w 827314"/>
            <a:gd name="connsiteY18" fmla="*/ 489881 h 759846"/>
            <a:gd name="connsiteX19" fmla="*/ 30480 w 827314"/>
            <a:gd name="connsiteY19" fmla="*/ 533424 h 759846"/>
            <a:gd name="connsiteX20" fmla="*/ 34834 w 827314"/>
            <a:gd name="connsiteY20" fmla="*/ 546486 h 759846"/>
            <a:gd name="connsiteX21" fmla="*/ 47897 w 827314"/>
            <a:gd name="connsiteY21" fmla="*/ 550841 h 759846"/>
            <a:gd name="connsiteX22" fmla="*/ 78377 w 827314"/>
            <a:gd name="connsiteY22" fmla="*/ 598738 h 759846"/>
            <a:gd name="connsiteX23" fmla="*/ 95794 w 827314"/>
            <a:gd name="connsiteY23" fmla="*/ 611801 h 759846"/>
            <a:gd name="connsiteX24" fmla="*/ 108857 w 827314"/>
            <a:gd name="connsiteY24" fmla="*/ 629218 h 759846"/>
            <a:gd name="connsiteX25" fmla="*/ 121920 w 827314"/>
            <a:gd name="connsiteY25" fmla="*/ 637926 h 759846"/>
            <a:gd name="connsiteX26" fmla="*/ 134983 w 827314"/>
            <a:gd name="connsiteY26" fmla="*/ 650989 h 759846"/>
            <a:gd name="connsiteX27" fmla="*/ 161109 w 827314"/>
            <a:gd name="connsiteY27" fmla="*/ 664052 h 759846"/>
            <a:gd name="connsiteX28" fmla="*/ 174171 w 827314"/>
            <a:gd name="connsiteY28" fmla="*/ 677115 h 759846"/>
            <a:gd name="connsiteX29" fmla="*/ 200297 w 827314"/>
            <a:gd name="connsiteY29" fmla="*/ 694532 h 759846"/>
            <a:gd name="connsiteX30" fmla="*/ 213360 w 827314"/>
            <a:gd name="connsiteY30" fmla="*/ 703241 h 759846"/>
            <a:gd name="connsiteX31" fmla="*/ 230777 w 827314"/>
            <a:gd name="connsiteY31" fmla="*/ 711949 h 759846"/>
            <a:gd name="connsiteX32" fmla="*/ 256903 w 827314"/>
            <a:gd name="connsiteY32" fmla="*/ 733721 h 759846"/>
            <a:gd name="connsiteX33" fmla="*/ 287383 w 827314"/>
            <a:gd name="connsiteY33" fmla="*/ 751138 h 759846"/>
            <a:gd name="connsiteX34" fmla="*/ 300446 w 827314"/>
            <a:gd name="connsiteY34" fmla="*/ 759846 h 759846"/>
            <a:gd name="connsiteX35" fmla="*/ 531223 w 827314"/>
            <a:gd name="connsiteY35" fmla="*/ 755492 h 759846"/>
            <a:gd name="connsiteX36" fmla="*/ 570411 w 827314"/>
            <a:gd name="connsiteY36" fmla="*/ 746784 h 759846"/>
            <a:gd name="connsiteX37" fmla="*/ 613954 w 827314"/>
            <a:gd name="connsiteY37" fmla="*/ 720658 h 759846"/>
            <a:gd name="connsiteX38" fmla="*/ 640080 w 827314"/>
            <a:gd name="connsiteY38" fmla="*/ 703241 h 759846"/>
            <a:gd name="connsiteX39" fmla="*/ 653143 w 827314"/>
            <a:gd name="connsiteY39" fmla="*/ 694532 h 759846"/>
            <a:gd name="connsiteX40" fmla="*/ 666206 w 827314"/>
            <a:gd name="connsiteY40" fmla="*/ 690178 h 759846"/>
            <a:gd name="connsiteX41" fmla="*/ 701040 w 827314"/>
            <a:gd name="connsiteY41" fmla="*/ 664052 h 759846"/>
            <a:gd name="connsiteX42" fmla="*/ 714103 w 827314"/>
            <a:gd name="connsiteY42" fmla="*/ 646635 h 759846"/>
            <a:gd name="connsiteX43" fmla="*/ 735874 w 827314"/>
            <a:gd name="connsiteY43" fmla="*/ 611801 h 759846"/>
            <a:gd name="connsiteX44" fmla="*/ 753291 w 827314"/>
            <a:gd name="connsiteY44" fmla="*/ 576966 h 759846"/>
            <a:gd name="connsiteX45" fmla="*/ 762000 w 827314"/>
            <a:gd name="connsiteY45" fmla="*/ 559549 h 759846"/>
            <a:gd name="connsiteX46" fmla="*/ 775063 w 827314"/>
            <a:gd name="connsiteY46" fmla="*/ 542132 h 759846"/>
            <a:gd name="connsiteX47" fmla="*/ 801189 w 827314"/>
            <a:gd name="connsiteY47" fmla="*/ 498589 h 759846"/>
            <a:gd name="connsiteX48" fmla="*/ 814251 w 827314"/>
            <a:gd name="connsiteY48" fmla="*/ 472464 h 759846"/>
            <a:gd name="connsiteX49" fmla="*/ 822960 w 827314"/>
            <a:gd name="connsiteY49" fmla="*/ 420212 h 759846"/>
            <a:gd name="connsiteX50" fmla="*/ 827314 w 827314"/>
            <a:gd name="connsiteY50" fmla="*/ 407149 h 759846"/>
            <a:gd name="connsiteX51" fmla="*/ 818606 w 827314"/>
            <a:gd name="connsiteY51" fmla="*/ 372315 h 759846"/>
            <a:gd name="connsiteX52" fmla="*/ 814251 w 827314"/>
            <a:gd name="connsiteY52" fmla="*/ 359252 h 759846"/>
            <a:gd name="connsiteX53" fmla="*/ 801189 w 827314"/>
            <a:gd name="connsiteY53" fmla="*/ 289584 h 759846"/>
            <a:gd name="connsiteX54" fmla="*/ 796834 w 827314"/>
            <a:gd name="connsiteY54" fmla="*/ 276521 h 759846"/>
            <a:gd name="connsiteX55" fmla="*/ 783771 w 827314"/>
            <a:gd name="connsiteY55" fmla="*/ 263458 h 759846"/>
            <a:gd name="connsiteX56" fmla="*/ 757646 w 827314"/>
            <a:gd name="connsiteY56" fmla="*/ 228624 h 759846"/>
            <a:gd name="connsiteX57" fmla="*/ 731520 w 827314"/>
            <a:gd name="connsiteY57" fmla="*/ 198144 h 759846"/>
            <a:gd name="connsiteX58" fmla="*/ 709749 w 827314"/>
            <a:gd name="connsiteY58" fmla="*/ 193789 h 759846"/>
            <a:gd name="connsiteX59" fmla="*/ 705394 w 827314"/>
            <a:gd name="connsiteY59" fmla="*/ 180726 h 759846"/>
            <a:gd name="connsiteX60" fmla="*/ 674914 w 827314"/>
            <a:gd name="connsiteY60" fmla="*/ 154601 h 759846"/>
            <a:gd name="connsiteX61" fmla="*/ 661851 w 827314"/>
            <a:gd name="connsiteY61" fmla="*/ 141538 h 759846"/>
            <a:gd name="connsiteX62" fmla="*/ 648789 w 827314"/>
            <a:gd name="connsiteY62" fmla="*/ 132829 h 759846"/>
            <a:gd name="connsiteX63" fmla="*/ 627017 w 827314"/>
            <a:gd name="connsiteY63" fmla="*/ 115412 h 759846"/>
            <a:gd name="connsiteX64" fmla="*/ 600891 w 827314"/>
            <a:gd name="connsiteY64" fmla="*/ 97995 h 759846"/>
            <a:gd name="connsiteX65" fmla="*/ 587829 w 827314"/>
            <a:gd name="connsiteY65" fmla="*/ 89286 h 759846"/>
            <a:gd name="connsiteX66" fmla="*/ 579120 w 827314"/>
            <a:gd name="connsiteY66" fmla="*/ 76224 h 759846"/>
            <a:gd name="connsiteX67" fmla="*/ 518160 w 827314"/>
            <a:gd name="connsiteY67" fmla="*/ 50098 h 759846"/>
            <a:gd name="connsiteX68" fmla="*/ 478971 w 827314"/>
            <a:gd name="connsiteY68" fmla="*/ 32681 h 759846"/>
            <a:gd name="connsiteX69" fmla="*/ 448491 w 827314"/>
            <a:gd name="connsiteY69" fmla="*/ 23972 h 759846"/>
            <a:gd name="connsiteX70" fmla="*/ 435429 w 827314"/>
            <a:gd name="connsiteY70" fmla="*/ 19618 h 759846"/>
            <a:gd name="connsiteX71" fmla="*/ 317863 w 827314"/>
            <a:gd name="connsiteY71" fmla="*/ 2201 h 759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</a:cxnLst>
          <a:rect l="l" t="t" r="r" b="b"/>
          <a:pathLst>
            <a:path w="827314" h="759846">
              <a:moveTo>
                <a:pt x="317863" y="2201"/>
              </a:moveTo>
              <a:cubicBezTo>
                <a:pt x="292463" y="24"/>
                <a:pt x="294571" y="4631"/>
                <a:pt x="283029" y="6555"/>
              </a:cubicBezTo>
              <a:cubicBezTo>
                <a:pt x="266677" y="9280"/>
                <a:pt x="267056" y="11119"/>
                <a:pt x="252549" y="15264"/>
              </a:cubicBezTo>
              <a:cubicBezTo>
                <a:pt x="228962" y="22003"/>
                <a:pt x="237500" y="18274"/>
                <a:pt x="209006" y="23972"/>
              </a:cubicBezTo>
              <a:cubicBezTo>
                <a:pt x="192551" y="27263"/>
                <a:pt x="182130" y="31479"/>
                <a:pt x="165463" y="37035"/>
              </a:cubicBezTo>
              <a:lnTo>
                <a:pt x="152400" y="41389"/>
              </a:lnTo>
              <a:cubicBezTo>
                <a:pt x="114963" y="66348"/>
                <a:pt x="162330" y="36424"/>
                <a:pt x="126274" y="54452"/>
              </a:cubicBezTo>
              <a:cubicBezTo>
                <a:pt x="121593" y="56792"/>
                <a:pt x="117469" y="60119"/>
                <a:pt x="113211" y="63161"/>
              </a:cubicBezTo>
              <a:cubicBezTo>
                <a:pt x="75431" y="90148"/>
                <a:pt x="113498" y="64422"/>
                <a:pt x="82731" y="84932"/>
              </a:cubicBezTo>
              <a:cubicBezTo>
                <a:pt x="72571" y="99446"/>
                <a:pt x="56548" y="111287"/>
                <a:pt x="52251" y="128475"/>
              </a:cubicBezTo>
              <a:cubicBezTo>
                <a:pt x="50800" y="134281"/>
                <a:pt x="50573" y="140539"/>
                <a:pt x="47897" y="145892"/>
              </a:cubicBezTo>
              <a:cubicBezTo>
                <a:pt x="43216" y="155254"/>
                <a:pt x="30480" y="172018"/>
                <a:pt x="30480" y="172018"/>
              </a:cubicBezTo>
              <a:lnTo>
                <a:pt x="17417" y="224269"/>
              </a:lnTo>
              <a:cubicBezTo>
                <a:pt x="15966" y="230075"/>
                <a:pt x="14955" y="236009"/>
                <a:pt x="13063" y="241686"/>
              </a:cubicBezTo>
              <a:cubicBezTo>
                <a:pt x="11612" y="246040"/>
                <a:pt x="9917" y="250321"/>
                <a:pt x="8709" y="254749"/>
              </a:cubicBezTo>
              <a:cubicBezTo>
                <a:pt x="5560" y="266296"/>
                <a:pt x="0" y="289584"/>
                <a:pt x="0" y="289584"/>
              </a:cubicBezTo>
              <a:cubicBezTo>
                <a:pt x="1451" y="340384"/>
                <a:pt x="1816" y="391227"/>
                <a:pt x="4354" y="441984"/>
              </a:cubicBezTo>
              <a:cubicBezTo>
                <a:pt x="4724" y="449376"/>
                <a:pt x="6110" y="456825"/>
                <a:pt x="8709" y="463755"/>
              </a:cubicBezTo>
              <a:cubicBezTo>
                <a:pt x="22360" y="500156"/>
                <a:pt x="13660" y="454734"/>
                <a:pt x="21771" y="489881"/>
              </a:cubicBezTo>
              <a:cubicBezTo>
                <a:pt x="25099" y="504304"/>
                <a:pt x="25799" y="519382"/>
                <a:pt x="30480" y="533424"/>
              </a:cubicBezTo>
              <a:cubicBezTo>
                <a:pt x="31931" y="537778"/>
                <a:pt x="31589" y="543241"/>
                <a:pt x="34834" y="546486"/>
              </a:cubicBezTo>
              <a:cubicBezTo>
                <a:pt x="38080" y="549732"/>
                <a:pt x="43543" y="549389"/>
                <a:pt x="47897" y="550841"/>
              </a:cubicBezTo>
              <a:cubicBezTo>
                <a:pt x="54473" y="570571"/>
                <a:pt x="56983" y="582692"/>
                <a:pt x="78377" y="598738"/>
              </a:cubicBezTo>
              <a:cubicBezTo>
                <a:pt x="84183" y="603092"/>
                <a:pt x="90662" y="606669"/>
                <a:pt x="95794" y="611801"/>
              </a:cubicBezTo>
              <a:cubicBezTo>
                <a:pt x="100926" y="616933"/>
                <a:pt x="103725" y="624087"/>
                <a:pt x="108857" y="629218"/>
              </a:cubicBezTo>
              <a:cubicBezTo>
                <a:pt x="112557" y="632918"/>
                <a:pt x="117900" y="634576"/>
                <a:pt x="121920" y="637926"/>
              </a:cubicBezTo>
              <a:cubicBezTo>
                <a:pt x="126651" y="641868"/>
                <a:pt x="129859" y="647573"/>
                <a:pt x="134983" y="650989"/>
              </a:cubicBezTo>
              <a:cubicBezTo>
                <a:pt x="174253" y="677170"/>
                <a:pt x="120008" y="629801"/>
                <a:pt x="161109" y="664052"/>
              </a:cubicBezTo>
              <a:cubicBezTo>
                <a:pt x="165839" y="667994"/>
                <a:pt x="169310" y="673334"/>
                <a:pt x="174171" y="677115"/>
              </a:cubicBezTo>
              <a:cubicBezTo>
                <a:pt x="182433" y="683541"/>
                <a:pt x="191588" y="688726"/>
                <a:pt x="200297" y="694532"/>
              </a:cubicBezTo>
              <a:cubicBezTo>
                <a:pt x="204651" y="697435"/>
                <a:pt x="208679" y="700901"/>
                <a:pt x="213360" y="703241"/>
              </a:cubicBezTo>
              <a:cubicBezTo>
                <a:pt x="219166" y="706144"/>
                <a:pt x="225141" y="708729"/>
                <a:pt x="230777" y="711949"/>
              </a:cubicBezTo>
              <a:cubicBezTo>
                <a:pt x="251416" y="723742"/>
                <a:pt x="237254" y="717347"/>
                <a:pt x="256903" y="733721"/>
              </a:cubicBezTo>
              <a:cubicBezTo>
                <a:pt x="268471" y="743361"/>
                <a:pt x="273839" y="743398"/>
                <a:pt x="287383" y="751138"/>
              </a:cubicBezTo>
              <a:cubicBezTo>
                <a:pt x="291927" y="753734"/>
                <a:pt x="296092" y="756943"/>
                <a:pt x="300446" y="759846"/>
              </a:cubicBezTo>
              <a:lnTo>
                <a:pt x="531223" y="755492"/>
              </a:lnTo>
              <a:cubicBezTo>
                <a:pt x="537635" y="755271"/>
                <a:pt x="562979" y="748642"/>
                <a:pt x="570411" y="746784"/>
              </a:cubicBezTo>
              <a:cubicBezTo>
                <a:pt x="584155" y="739912"/>
                <a:pt x="603445" y="731167"/>
                <a:pt x="613954" y="720658"/>
              </a:cubicBezTo>
              <a:cubicBezTo>
                <a:pt x="630263" y="704349"/>
                <a:pt x="621175" y="709542"/>
                <a:pt x="640080" y="703241"/>
              </a:cubicBezTo>
              <a:cubicBezTo>
                <a:pt x="644434" y="700338"/>
                <a:pt x="648462" y="696872"/>
                <a:pt x="653143" y="694532"/>
              </a:cubicBezTo>
              <a:cubicBezTo>
                <a:pt x="657248" y="692479"/>
                <a:pt x="662471" y="692846"/>
                <a:pt x="666206" y="690178"/>
              </a:cubicBezTo>
              <a:cubicBezTo>
                <a:pt x="717563" y="653495"/>
                <a:pt x="653076" y="688035"/>
                <a:pt x="701040" y="664052"/>
              </a:cubicBezTo>
              <a:cubicBezTo>
                <a:pt x="705394" y="658246"/>
                <a:pt x="709885" y="652540"/>
                <a:pt x="714103" y="646635"/>
              </a:cubicBezTo>
              <a:cubicBezTo>
                <a:pt x="720510" y="637665"/>
                <a:pt x="731431" y="620052"/>
                <a:pt x="735874" y="611801"/>
              </a:cubicBezTo>
              <a:cubicBezTo>
                <a:pt x="742029" y="600371"/>
                <a:pt x="747485" y="588578"/>
                <a:pt x="753291" y="576966"/>
              </a:cubicBezTo>
              <a:cubicBezTo>
                <a:pt x="756194" y="571160"/>
                <a:pt x="758105" y="564742"/>
                <a:pt x="762000" y="559549"/>
              </a:cubicBezTo>
              <a:cubicBezTo>
                <a:pt x="766354" y="553743"/>
                <a:pt x="770845" y="548037"/>
                <a:pt x="775063" y="542132"/>
              </a:cubicBezTo>
              <a:cubicBezTo>
                <a:pt x="783996" y="529626"/>
                <a:pt x="795186" y="510594"/>
                <a:pt x="801189" y="498589"/>
              </a:cubicBezTo>
              <a:cubicBezTo>
                <a:pt x="819219" y="462529"/>
                <a:pt x="789291" y="509904"/>
                <a:pt x="814251" y="472464"/>
              </a:cubicBezTo>
              <a:cubicBezTo>
                <a:pt x="816708" y="455267"/>
                <a:pt x="818717" y="437186"/>
                <a:pt x="822960" y="420212"/>
              </a:cubicBezTo>
              <a:cubicBezTo>
                <a:pt x="824073" y="415759"/>
                <a:pt x="825863" y="411503"/>
                <a:pt x="827314" y="407149"/>
              </a:cubicBezTo>
              <a:cubicBezTo>
                <a:pt x="824411" y="395538"/>
                <a:pt x="821755" y="383862"/>
                <a:pt x="818606" y="372315"/>
              </a:cubicBezTo>
              <a:cubicBezTo>
                <a:pt x="817398" y="367887"/>
                <a:pt x="815072" y="363768"/>
                <a:pt x="814251" y="359252"/>
              </a:cubicBezTo>
              <a:cubicBezTo>
                <a:pt x="802502" y="294636"/>
                <a:pt x="818780" y="354084"/>
                <a:pt x="801189" y="289584"/>
              </a:cubicBezTo>
              <a:cubicBezTo>
                <a:pt x="799981" y="285156"/>
                <a:pt x="799380" y="280340"/>
                <a:pt x="796834" y="276521"/>
              </a:cubicBezTo>
              <a:cubicBezTo>
                <a:pt x="793418" y="271397"/>
                <a:pt x="788125" y="267812"/>
                <a:pt x="783771" y="263458"/>
              </a:cubicBezTo>
              <a:cubicBezTo>
                <a:pt x="755246" y="206403"/>
                <a:pt x="785864" y="256841"/>
                <a:pt x="757646" y="228624"/>
              </a:cubicBezTo>
              <a:cubicBezTo>
                <a:pt x="742921" y="213899"/>
                <a:pt x="754931" y="211151"/>
                <a:pt x="731520" y="198144"/>
              </a:cubicBezTo>
              <a:cubicBezTo>
                <a:pt x="725051" y="194550"/>
                <a:pt x="717006" y="195241"/>
                <a:pt x="709749" y="193789"/>
              </a:cubicBezTo>
              <a:cubicBezTo>
                <a:pt x="708297" y="189435"/>
                <a:pt x="707940" y="184545"/>
                <a:pt x="705394" y="180726"/>
              </a:cubicBezTo>
              <a:cubicBezTo>
                <a:pt x="698192" y="169924"/>
                <a:pt x="684301" y="162648"/>
                <a:pt x="674914" y="154601"/>
              </a:cubicBezTo>
              <a:cubicBezTo>
                <a:pt x="670239" y="150593"/>
                <a:pt x="666582" y="145480"/>
                <a:pt x="661851" y="141538"/>
              </a:cubicBezTo>
              <a:cubicBezTo>
                <a:pt x="657831" y="138188"/>
                <a:pt x="652975" y="135969"/>
                <a:pt x="648789" y="132829"/>
              </a:cubicBezTo>
              <a:cubicBezTo>
                <a:pt x="641354" y="127253"/>
                <a:pt x="634533" y="120878"/>
                <a:pt x="627017" y="115412"/>
              </a:cubicBezTo>
              <a:cubicBezTo>
                <a:pt x="618552" y="109256"/>
                <a:pt x="609600" y="103801"/>
                <a:pt x="600891" y="97995"/>
              </a:cubicBezTo>
              <a:lnTo>
                <a:pt x="587829" y="89286"/>
              </a:lnTo>
              <a:cubicBezTo>
                <a:pt x="584926" y="84932"/>
                <a:pt x="583058" y="79670"/>
                <a:pt x="579120" y="76224"/>
              </a:cubicBezTo>
              <a:cubicBezTo>
                <a:pt x="553405" y="53724"/>
                <a:pt x="551291" y="59564"/>
                <a:pt x="518160" y="50098"/>
              </a:cubicBezTo>
              <a:cubicBezTo>
                <a:pt x="465751" y="35124"/>
                <a:pt x="511825" y="49109"/>
                <a:pt x="478971" y="32681"/>
              </a:cubicBezTo>
              <a:cubicBezTo>
                <a:pt x="472003" y="29197"/>
                <a:pt x="455012" y="25835"/>
                <a:pt x="448491" y="23972"/>
              </a:cubicBezTo>
              <a:cubicBezTo>
                <a:pt x="444078" y="22711"/>
                <a:pt x="439783" y="21069"/>
                <a:pt x="435429" y="19618"/>
              </a:cubicBezTo>
              <a:cubicBezTo>
                <a:pt x="388552" y="-11635"/>
                <a:pt x="343263" y="4378"/>
                <a:pt x="317863" y="2201"/>
              </a:cubicBez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5</xdr:col>
      <xdr:colOff>767757</xdr:colOff>
      <xdr:row>130</xdr:row>
      <xdr:rowOff>38183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8137" y="23042880"/>
          <a:ext cx="3619814" cy="952583"/>
        </a:xfrm>
        <a:prstGeom prst="rect">
          <a:avLst/>
        </a:prstGeom>
      </xdr:spPr>
    </xdr:pic>
    <xdr:clientData/>
  </xdr:twoCellAnchor>
  <xdr:twoCellAnchor>
    <xdr:from>
      <xdr:col>7</xdr:col>
      <xdr:colOff>465909</xdr:colOff>
      <xdr:row>124</xdr:row>
      <xdr:rowOff>39188</xdr:rowOff>
    </xdr:from>
    <xdr:to>
      <xdr:col>8</xdr:col>
      <xdr:colOff>52252</xdr:colOff>
      <xdr:row>125</xdr:row>
      <xdr:rowOff>78377</xdr:rowOff>
    </xdr:to>
    <xdr:sp macro="" textlink="">
      <xdr:nvSpPr>
        <xdr:cNvPr id="8" name="Oval 7"/>
        <xdr:cNvSpPr/>
      </xdr:nvSpPr>
      <xdr:spPr>
        <a:xfrm>
          <a:off x="7223760" y="22899188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269966</xdr:colOff>
      <xdr:row>131</xdr:row>
      <xdr:rowOff>156754</xdr:rowOff>
    </xdr:from>
    <xdr:to>
      <xdr:col>9</xdr:col>
      <xdr:colOff>465909</xdr:colOff>
      <xdr:row>133</xdr:row>
      <xdr:rowOff>13063</xdr:rowOff>
    </xdr:to>
    <xdr:sp macro="" textlink="">
      <xdr:nvSpPr>
        <xdr:cNvPr id="9" name="Oval 8"/>
        <xdr:cNvSpPr/>
      </xdr:nvSpPr>
      <xdr:spPr>
        <a:xfrm>
          <a:off x="8247017" y="24296914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452846</xdr:colOff>
      <xdr:row>125</xdr:row>
      <xdr:rowOff>178524</xdr:rowOff>
    </xdr:from>
    <xdr:to>
      <xdr:col>8</xdr:col>
      <xdr:colOff>39189</xdr:colOff>
      <xdr:row>127</xdr:row>
      <xdr:rowOff>34833</xdr:rowOff>
    </xdr:to>
    <xdr:sp macro="" textlink="">
      <xdr:nvSpPr>
        <xdr:cNvPr id="10" name="Oval 9"/>
        <xdr:cNvSpPr/>
      </xdr:nvSpPr>
      <xdr:spPr>
        <a:xfrm>
          <a:off x="7210697" y="23221404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478973</xdr:colOff>
      <xdr:row>127</xdr:row>
      <xdr:rowOff>152399</xdr:rowOff>
    </xdr:from>
    <xdr:to>
      <xdr:col>8</xdr:col>
      <xdr:colOff>65316</xdr:colOff>
      <xdr:row>129</xdr:row>
      <xdr:rowOff>8708</xdr:rowOff>
    </xdr:to>
    <xdr:sp macro="" textlink="">
      <xdr:nvSpPr>
        <xdr:cNvPr id="11" name="Oval 10"/>
        <xdr:cNvSpPr/>
      </xdr:nvSpPr>
      <xdr:spPr>
        <a:xfrm>
          <a:off x="7236824" y="23561039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317864</xdr:colOff>
      <xdr:row>129</xdr:row>
      <xdr:rowOff>161106</xdr:rowOff>
    </xdr:from>
    <xdr:to>
      <xdr:col>9</xdr:col>
      <xdr:colOff>513807</xdr:colOff>
      <xdr:row>131</xdr:row>
      <xdr:rowOff>17415</xdr:rowOff>
    </xdr:to>
    <xdr:sp macro="" textlink="">
      <xdr:nvSpPr>
        <xdr:cNvPr id="12" name="Oval 11"/>
        <xdr:cNvSpPr/>
      </xdr:nvSpPr>
      <xdr:spPr>
        <a:xfrm>
          <a:off x="8294915" y="23935506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448491</xdr:colOff>
      <xdr:row>124</xdr:row>
      <xdr:rowOff>47897</xdr:rowOff>
    </xdr:from>
    <xdr:to>
      <xdr:col>8</xdr:col>
      <xdr:colOff>34834</xdr:colOff>
      <xdr:row>125</xdr:row>
      <xdr:rowOff>87086</xdr:rowOff>
    </xdr:to>
    <xdr:sp macro="" textlink="">
      <xdr:nvSpPr>
        <xdr:cNvPr id="13" name="Oval 12"/>
        <xdr:cNvSpPr/>
      </xdr:nvSpPr>
      <xdr:spPr>
        <a:xfrm>
          <a:off x="7206342" y="22907897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435428</xdr:colOff>
      <xdr:row>126</xdr:row>
      <xdr:rowOff>4353</xdr:rowOff>
    </xdr:from>
    <xdr:to>
      <xdr:col>8</xdr:col>
      <xdr:colOff>21771</xdr:colOff>
      <xdr:row>127</xdr:row>
      <xdr:rowOff>43542</xdr:rowOff>
    </xdr:to>
    <xdr:sp macro="" textlink="">
      <xdr:nvSpPr>
        <xdr:cNvPr id="14" name="Oval 13"/>
        <xdr:cNvSpPr/>
      </xdr:nvSpPr>
      <xdr:spPr>
        <a:xfrm>
          <a:off x="7193279" y="23230113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461555</xdr:colOff>
      <xdr:row>127</xdr:row>
      <xdr:rowOff>161108</xdr:rowOff>
    </xdr:from>
    <xdr:to>
      <xdr:col>8</xdr:col>
      <xdr:colOff>47898</xdr:colOff>
      <xdr:row>129</xdr:row>
      <xdr:rowOff>17417</xdr:rowOff>
    </xdr:to>
    <xdr:sp macro="" textlink="">
      <xdr:nvSpPr>
        <xdr:cNvPr id="15" name="Oval 14"/>
        <xdr:cNvSpPr/>
      </xdr:nvSpPr>
      <xdr:spPr>
        <a:xfrm>
          <a:off x="7219406" y="23569748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418012</xdr:colOff>
      <xdr:row>132</xdr:row>
      <xdr:rowOff>60960</xdr:rowOff>
    </xdr:from>
    <xdr:to>
      <xdr:col>8</xdr:col>
      <xdr:colOff>4355</xdr:colOff>
      <xdr:row>133</xdr:row>
      <xdr:rowOff>100149</xdr:rowOff>
    </xdr:to>
    <xdr:sp macro="" textlink="">
      <xdr:nvSpPr>
        <xdr:cNvPr id="16" name="Oval 15"/>
        <xdr:cNvSpPr/>
      </xdr:nvSpPr>
      <xdr:spPr>
        <a:xfrm>
          <a:off x="7175863" y="24384000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426720</xdr:colOff>
      <xdr:row>130</xdr:row>
      <xdr:rowOff>13062</xdr:rowOff>
    </xdr:from>
    <xdr:to>
      <xdr:col>8</xdr:col>
      <xdr:colOff>13063</xdr:colOff>
      <xdr:row>131</xdr:row>
      <xdr:rowOff>52251</xdr:rowOff>
    </xdr:to>
    <xdr:sp macro="" textlink="">
      <xdr:nvSpPr>
        <xdr:cNvPr id="17" name="Oval 16"/>
        <xdr:cNvSpPr/>
      </xdr:nvSpPr>
      <xdr:spPr>
        <a:xfrm>
          <a:off x="7184571" y="23970342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330925</xdr:colOff>
      <xdr:row>124</xdr:row>
      <xdr:rowOff>130629</xdr:rowOff>
    </xdr:from>
    <xdr:to>
      <xdr:col>9</xdr:col>
      <xdr:colOff>526868</xdr:colOff>
      <xdr:row>125</xdr:row>
      <xdr:rowOff>169818</xdr:rowOff>
    </xdr:to>
    <xdr:sp macro="" textlink="">
      <xdr:nvSpPr>
        <xdr:cNvPr id="18" name="Oval 17"/>
        <xdr:cNvSpPr/>
      </xdr:nvSpPr>
      <xdr:spPr>
        <a:xfrm>
          <a:off x="8307976" y="22990629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317862</xdr:colOff>
      <xdr:row>126</xdr:row>
      <xdr:rowOff>87085</xdr:rowOff>
    </xdr:from>
    <xdr:to>
      <xdr:col>9</xdr:col>
      <xdr:colOff>513805</xdr:colOff>
      <xdr:row>127</xdr:row>
      <xdr:rowOff>126274</xdr:rowOff>
    </xdr:to>
    <xdr:sp macro="" textlink="">
      <xdr:nvSpPr>
        <xdr:cNvPr id="19" name="Oval 18"/>
        <xdr:cNvSpPr/>
      </xdr:nvSpPr>
      <xdr:spPr>
        <a:xfrm>
          <a:off x="8294913" y="23312845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343989</xdr:colOff>
      <xdr:row>128</xdr:row>
      <xdr:rowOff>60960</xdr:rowOff>
    </xdr:from>
    <xdr:to>
      <xdr:col>9</xdr:col>
      <xdr:colOff>539932</xdr:colOff>
      <xdr:row>129</xdr:row>
      <xdr:rowOff>100149</xdr:rowOff>
    </xdr:to>
    <xdr:sp macro="" textlink="">
      <xdr:nvSpPr>
        <xdr:cNvPr id="20" name="Oval 19"/>
        <xdr:cNvSpPr/>
      </xdr:nvSpPr>
      <xdr:spPr>
        <a:xfrm>
          <a:off x="8321040" y="23652480"/>
          <a:ext cx="195943" cy="2220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343989</xdr:colOff>
      <xdr:row>170</xdr:row>
      <xdr:rowOff>149577</xdr:rowOff>
    </xdr:from>
    <xdr:to>
      <xdr:col>15</xdr:col>
      <xdr:colOff>548172</xdr:colOff>
      <xdr:row>180</xdr:row>
      <xdr:rowOff>113430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1840" y="31604937"/>
          <a:ext cx="5080983" cy="1792653"/>
        </a:xfrm>
        <a:prstGeom prst="rect">
          <a:avLst/>
        </a:prstGeom>
      </xdr:spPr>
    </xdr:pic>
    <xdr:clientData/>
  </xdr:twoCellAnchor>
  <xdr:twoCellAnchor editAs="oneCell">
    <xdr:from>
      <xdr:col>3</xdr:col>
      <xdr:colOff>1119352</xdr:colOff>
      <xdr:row>195</xdr:row>
      <xdr:rowOff>15765</xdr:rowOff>
    </xdr:from>
    <xdr:to>
      <xdr:col>6</xdr:col>
      <xdr:colOff>841330</xdr:colOff>
      <xdr:row>200</xdr:row>
      <xdr:rowOff>53949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4786" y="36250179"/>
          <a:ext cx="3621316" cy="957839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218</xdr:row>
      <xdr:rowOff>0</xdr:rowOff>
    </xdr:from>
    <xdr:to>
      <xdr:col>14</xdr:col>
      <xdr:colOff>199184</xdr:colOff>
      <xdr:row>239</xdr:row>
      <xdr:rowOff>77330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5434" y="40648759"/>
          <a:ext cx="9259102" cy="39398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13</xdr:col>
      <xdr:colOff>536522</xdr:colOff>
      <xdr:row>261</xdr:row>
      <xdr:rowOff>143317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3615" y="44700092"/>
          <a:ext cx="8977138" cy="34140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15</xdr:col>
      <xdr:colOff>102250</xdr:colOff>
      <xdr:row>278</xdr:row>
      <xdr:rowOff>132132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3615" y="48334246"/>
          <a:ext cx="9762066" cy="2857748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298</xdr:row>
      <xdr:rowOff>183931</xdr:rowOff>
    </xdr:from>
    <xdr:to>
      <xdr:col>13</xdr:col>
      <xdr:colOff>168649</xdr:colOff>
      <xdr:row>304</xdr:row>
      <xdr:rowOff>162478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5434" y="55547172"/>
          <a:ext cx="8618967" cy="1082134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309</xdr:row>
      <xdr:rowOff>0</xdr:rowOff>
    </xdr:from>
    <xdr:to>
      <xdr:col>10</xdr:col>
      <xdr:colOff>16077</xdr:colOff>
      <xdr:row>331</xdr:row>
      <xdr:rowOff>38191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5434" y="57386483"/>
          <a:ext cx="6637595" cy="4084674"/>
        </a:xfrm>
        <a:prstGeom prst="rect">
          <a:avLst/>
        </a:prstGeom>
      </xdr:spPr>
    </xdr:pic>
    <xdr:clientData/>
  </xdr:twoCellAnchor>
  <xdr:twoCellAnchor editAs="oneCell">
    <xdr:from>
      <xdr:col>2</xdr:col>
      <xdr:colOff>746234</xdr:colOff>
      <xdr:row>335</xdr:row>
      <xdr:rowOff>0</xdr:rowOff>
    </xdr:from>
    <xdr:to>
      <xdr:col>9</xdr:col>
      <xdr:colOff>442781</xdr:colOff>
      <xdr:row>344</xdr:row>
      <xdr:rowOff>66890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5434" y="62168690"/>
          <a:ext cx="6454699" cy="1722269"/>
        </a:xfrm>
        <a:prstGeom prst="rect">
          <a:avLst/>
        </a:prstGeom>
      </xdr:spPr>
    </xdr:pic>
    <xdr:clientData/>
  </xdr:twoCellAnchor>
  <xdr:twoCellAnchor editAs="oneCell">
    <xdr:from>
      <xdr:col>2</xdr:col>
      <xdr:colOff>562303</xdr:colOff>
      <xdr:row>349</xdr:row>
      <xdr:rowOff>47297</xdr:rowOff>
    </xdr:from>
    <xdr:to>
      <xdr:col>12</xdr:col>
      <xdr:colOff>373319</xdr:colOff>
      <xdr:row>372</xdr:row>
      <xdr:rowOff>8246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81503" y="64791021"/>
          <a:ext cx="8397968" cy="419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4"/>
  <sheetViews>
    <sheetView showGridLines="0" tabSelected="1" topLeftCell="A360" zoomScale="145" zoomScaleNormal="145" workbookViewId="0">
      <selection activeCell="D375" sqref="D375"/>
    </sheetView>
  </sheetViews>
  <sheetFormatPr defaultRowHeight="14.4" x14ac:dyDescent="0.3"/>
  <cols>
    <col min="3" max="3" width="10.88671875" customWidth="1"/>
    <col min="4" max="4" width="20.6640625" customWidth="1"/>
    <col min="5" max="5" width="20.88671875" customWidth="1"/>
    <col min="6" max="6" width="15.21875" customWidth="1"/>
    <col min="7" max="7" width="13" customWidth="1"/>
  </cols>
  <sheetData>
    <row r="2" spans="2:7" x14ac:dyDescent="0.3">
      <c r="B2" t="s">
        <v>0</v>
      </c>
    </row>
    <row r="3" spans="2:7" x14ac:dyDescent="0.3">
      <c r="B3" t="s">
        <v>1</v>
      </c>
    </row>
    <row r="6" spans="2:7" x14ac:dyDescent="0.3">
      <c r="B6" t="s">
        <v>2</v>
      </c>
    </row>
    <row r="7" spans="2:7" x14ac:dyDescent="0.3">
      <c r="B7" t="s">
        <v>3</v>
      </c>
    </row>
    <row r="12" spans="2:7" x14ac:dyDescent="0.3">
      <c r="B12" t="s">
        <v>2</v>
      </c>
    </row>
    <row r="15" spans="2:7" x14ac:dyDescent="0.3"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</row>
    <row r="16" spans="2:7" x14ac:dyDescent="0.3">
      <c r="C16" s="2" t="s">
        <v>9</v>
      </c>
      <c r="D16" s="2">
        <v>1</v>
      </c>
      <c r="E16" s="2">
        <v>1</v>
      </c>
      <c r="F16" s="2">
        <v>50</v>
      </c>
      <c r="G16" s="2">
        <v>30</v>
      </c>
    </row>
    <row r="17" spans="3:7" x14ac:dyDescent="0.3">
      <c r="C17" s="2" t="s">
        <v>10</v>
      </c>
      <c r="D17" s="2">
        <v>2</v>
      </c>
      <c r="E17" s="2">
        <v>1</v>
      </c>
      <c r="F17" s="2">
        <v>55</v>
      </c>
      <c r="G17" s="2">
        <v>35</v>
      </c>
    </row>
    <row r="18" spans="3:7" x14ac:dyDescent="0.3">
      <c r="C18" s="2" t="s">
        <v>11</v>
      </c>
      <c r="D18" s="2">
        <v>3</v>
      </c>
      <c r="E18" s="2">
        <v>2</v>
      </c>
      <c r="F18" s="2">
        <v>60</v>
      </c>
      <c r="G18" s="2">
        <v>40</v>
      </c>
    </row>
    <row r="19" spans="3:7" x14ac:dyDescent="0.3">
      <c r="C19" s="2" t="s">
        <v>12</v>
      </c>
      <c r="D19" s="2">
        <v>4</v>
      </c>
      <c r="E19" s="2">
        <v>2</v>
      </c>
      <c r="F19" s="2">
        <v>65</v>
      </c>
      <c r="G19" s="2">
        <v>45</v>
      </c>
    </row>
    <row r="20" spans="3:7" x14ac:dyDescent="0.3">
      <c r="C20" s="2" t="s">
        <v>13</v>
      </c>
      <c r="D20" s="2">
        <v>5</v>
      </c>
      <c r="E20" s="2">
        <v>3</v>
      </c>
      <c r="F20" s="2">
        <v>70</v>
      </c>
      <c r="G20" s="2">
        <v>50</v>
      </c>
    </row>
    <row r="21" spans="3:7" x14ac:dyDescent="0.3">
      <c r="C21" s="2" t="s">
        <v>14</v>
      </c>
      <c r="D21" s="2">
        <v>6</v>
      </c>
      <c r="E21" s="2">
        <v>3</v>
      </c>
      <c r="F21" s="2">
        <v>75</v>
      </c>
      <c r="G21" s="2">
        <v>60</v>
      </c>
    </row>
    <row r="22" spans="3:7" x14ac:dyDescent="0.3">
      <c r="C22" s="2" t="s">
        <v>15</v>
      </c>
      <c r="D22" s="2">
        <v>7</v>
      </c>
      <c r="E22" s="2">
        <v>4</v>
      </c>
      <c r="F22" s="2">
        <v>80</v>
      </c>
      <c r="G22" s="2">
        <v>65</v>
      </c>
    </row>
    <row r="23" spans="3:7" x14ac:dyDescent="0.3">
      <c r="C23" s="2" t="s">
        <v>16</v>
      </c>
      <c r="D23" s="2">
        <v>8</v>
      </c>
      <c r="E23" s="2">
        <v>4</v>
      </c>
      <c r="F23" s="2">
        <v>85</v>
      </c>
      <c r="G23" s="2">
        <v>70</v>
      </c>
    </row>
    <row r="24" spans="3:7" x14ac:dyDescent="0.3">
      <c r="C24" s="2" t="s">
        <v>17</v>
      </c>
      <c r="D24" s="2">
        <v>9</v>
      </c>
      <c r="E24" s="2">
        <v>5</v>
      </c>
      <c r="F24" s="2">
        <v>90</v>
      </c>
      <c r="G24" s="2">
        <v>75</v>
      </c>
    </row>
    <row r="25" spans="3:7" x14ac:dyDescent="0.3">
      <c r="C25" s="2" t="s">
        <v>18</v>
      </c>
      <c r="D25" s="2">
        <v>10</v>
      </c>
      <c r="E25" s="2">
        <v>5</v>
      </c>
      <c r="F25" s="2">
        <v>95</v>
      </c>
      <c r="G25" s="2">
        <v>80</v>
      </c>
    </row>
    <row r="27" spans="3:7" x14ac:dyDescent="0.3">
      <c r="D27" t="s">
        <v>19</v>
      </c>
      <c r="E27" t="s">
        <v>20</v>
      </c>
    </row>
    <row r="28" spans="3:7" x14ac:dyDescent="0.3">
      <c r="D28" t="s">
        <v>21</v>
      </c>
      <c r="E28" t="s">
        <v>22</v>
      </c>
    </row>
    <row r="29" spans="3:7" x14ac:dyDescent="0.3">
      <c r="D29" t="s">
        <v>23</v>
      </c>
    </row>
    <row r="30" spans="3:7" x14ac:dyDescent="0.3">
      <c r="D30" t="s">
        <v>24</v>
      </c>
      <c r="E30">
        <v>1</v>
      </c>
    </row>
    <row r="31" spans="3:7" x14ac:dyDescent="0.3">
      <c r="D31" t="s">
        <v>25</v>
      </c>
      <c r="E31">
        <v>0</v>
      </c>
      <c r="F31" t="s">
        <v>26</v>
      </c>
    </row>
    <row r="32" spans="3:7" x14ac:dyDescent="0.3">
      <c r="D32" t="s">
        <v>27</v>
      </c>
      <c r="F32">
        <v>1</v>
      </c>
    </row>
    <row r="33" spans="3:9" x14ac:dyDescent="0.3">
      <c r="D33" t="s">
        <v>28</v>
      </c>
      <c r="E33">
        <v>2</v>
      </c>
    </row>
    <row r="35" spans="3:9" x14ac:dyDescent="0.3">
      <c r="I35" t="s">
        <v>30</v>
      </c>
    </row>
    <row r="36" spans="3:9" x14ac:dyDescent="0.3"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4" t="s">
        <v>29</v>
      </c>
    </row>
    <row r="37" spans="3:9" x14ac:dyDescent="0.3">
      <c r="C37" s="2" t="s">
        <v>9</v>
      </c>
      <c r="D37" s="2">
        <v>1</v>
      </c>
      <c r="E37" s="2">
        <v>1</v>
      </c>
      <c r="F37" s="2">
        <v>50</v>
      </c>
      <c r="G37" s="2">
        <v>30</v>
      </c>
      <c r="H37" s="5">
        <v>55</v>
      </c>
    </row>
    <row r="38" spans="3:9" x14ac:dyDescent="0.3">
      <c r="C38" s="2" t="s">
        <v>10</v>
      </c>
      <c r="D38" s="2">
        <v>2</v>
      </c>
      <c r="E38" s="2">
        <v>1</v>
      </c>
      <c r="F38" s="2">
        <v>55</v>
      </c>
      <c r="G38" s="2">
        <v>35</v>
      </c>
      <c r="H38" s="5">
        <v>55</v>
      </c>
    </row>
    <row r="39" spans="3:9" x14ac:dyDescent="0.3">
      <c r="C39" s="2" t="s">
        <v>11</v>
      </c>
      <c r="D39" s="2">
        <v>3</v>
      </c>
      <c r="E39" s="2">
        <v>2</v>
      </c>
      <c r="F39" s="2">
        <v>60</v>
      </c>
      <c r="G39" s="2">
        <v>40</v>
      </c>
      <c r="H39" s="5">
        <v>55</v>
      </c>
    </row>
    <row r="40" spans="3:9" x14ac:dyDescent="0.3">
      <c r="C40" s="2" t="s">
        <v>12</v>
      </c>
      <c r="D40" s="2">
        <v>4</v>
      </c>
      <c r="E40" s="2">
        <v>2</v>
      </c>
      <c r="F40" s="2">
        <v>65</v>
      </c>
      <c r="G40" s="2">
        <v>45</v>
      </c>
      <c r="H40" s="5">
        <v>55</v>
      </c>
    </row>
    <row r="41" spans="3:9" x14ac:dyDescent="0.3">
      <c r="C41" s="2" t="s">
        <v>13</v>
      </c>
      <c r="D41" s="2">
        <v>5</v>
      </c>
      <c r="E41" s="2">
        <v>3</v>
      </c>
      <c r="F41" s="2">
        <v>70</v>
      </c>
      <c r="G41" s="2">
        <v>50</v>
      </c>
      <c r="H41" s="5">
        <v>55</v>
      </c>
    </row>
    <row r="42" spans="3:9" x14ac:dyDescent="0.3">
      <c r="C42" s="2" t="s">
        <v>14</v>
      </c>
      <c r="D42" s="2">
        <v>6</v>
      </c>
      <c r="E42" s="2">
        <v>3</v>
      </c>
      <c r="F42" s="2">
        <v>75</v>
      </c>
      <c r="G42" s="2">
        <v>60</v>
      </c>
      <c r="H42" s="5">
        <v>55</v>
      </c>
    </row>
    <row r="43" spans="3:9" x14ac:dyDescent="0.3">
      <c r="C43" s="2" t="s">
        <v>15</v>
      </c>
      <c r="D43" s="2">
        <v>7</v>
      </c>
      <c r="E43" s="2">
        <v>4</v>
      </c>
      <c r="F43" s="2">
        <v>80</v>
      </c>
      <c r="G43" s="2">
        <v>65</v>
      </c>
      <c r="H43" s="5">
        <v>55</v>
      </c>
    </row>
    <row r="44" spans="3:9" x14ac:dyDescent="0.3">
      <c r="C44" s="2" t="s">
        <v>16</v>
      </c>
      <c r="D44" s="2">
        <v>8</v>
      </c>
      <c r="E44" s="2">
        <v>4</v>
      </c>
      <c r="F44" s="2">
        <v>85</v>
      </c>
      <c r="G44" s="2">
        <v>70</v>
      </c>
      <c r="H44" s="5">
        <v>55</v>
      </c>
    </row>
    <row r="45" spans="3:9" x14ac:dyDescent="0.3">
      <c r="C45" s="2" t="s">
        <v>17</v>
      </c>
      <c r="D45" s="2">
        <v>9</v>
      </c>
      <c r="E45" s="2">
        <v>5</v>
      </c>
      <c r="F45" s="2">
        <v>90</v>
      </c>
      <c r="G45" s="2">
        <v>75</v>
      </c>
      <c r="H45" s="5">
        <v>55</v>
      </c>
    </row>
    <row r="46" spans="3:9" x14ac:dyDescent="0.3">
      <c r="C46" s="2" t="s">
        <v>18</v>
      </c>
      <c r="D46" s="2">
        <v>10</v>
      </c>
      <c r="E46" s="2">
        <v>5</v>
      </c>
      <c r="F46" s="2">
        <v>95</v>
      </c>
      <c r="G46" s="2">
        <v>80</v>
      </c>
      <c r="H46" s="5">
        <v>55</v>
      </c>
    </row>
    <row r="47" spans="3:9" x14ac:dyDescent="0.3">
      <c r="F47" t="s">
        <v>29</v>
      </c>
      <c r="G47">
        <f>AVERAGE(G37:G46)</f>
        <v>55</v>
      </c>
    </row>
    <row r="77" spans="3:11" ht="28.8" x14ac:dyDescent="0.3">
      <c r="C77" s="9" t="s">
        <v>4</v>
      </c>
      <c r="D77" s="9" t="s">
        <v>5</v>
      </c>
      <c r="E77" s="9" t="s">
        <v>6</v>
      </c>
      <c r="F77" s="9" t="s">
        <v>7</v>
      </c>
      <c r="G77" s="9" t="s">
        <v>8</v>
      </c>
      <c r="H77" s="9" t="s">
        <v>29</v>
      </c>
      <c r="I77" s="9" t="s">
        <v>31</v>
      </c>
      <c r="J77" s="9" t="s">
        <v>32</v>
      </c>
      <c r="K77" s="3" t="s">
        <v>34</v>
      </c>
    </row>
    <row r="78" spans="3:11" x14ac:dyDescent="0.3">
      <c r="C78" s="8" t="s">
        <v>9</v>
      </c>
      <c r="D78" s="8">
        <v>1</v>
      </c>
      <c r="E78" s="8">
        <v>1</v>
      </c>
      <c r="F78" s="8">
        <v>50</v>
      </c>
      <c r="G78" s="8">
        <v>30</v>
      </c>
      <c r="H78" s="10">
        <v>55</v>
      </c>
      <c r="I78" s="10">
        <f>H78-G78</f>
        <v>25</v>
      </c>
      <c r="J78" s="10">
        <v>1</v>
      </c>
      <c r="K78">
        <f>POWER(G78-H78,2)</f>
        <v>625</v>
      </c>
    </row>
    <row r="79" spans="3:11" x14ac:dyDescent="0.3">
      <c r="C79" s="8" t="s">
        <v>10</v>
      </c>
      <c r="D79" s="8">
        <v>2</v>
      </c>
      <c r="E79" s="8">
        <v>1</v>
      </c>
      <c r="F79" s="8">
        <v>55</v>
      </c>
      <c r="G79" s="8">
        <v>35</v>
      </c>
      <c r="H79" s="10">
        <v>55</v>
      </c>
      <c r="I79" s="10">
        <f t="shared" ref="I79:I87" si="0">H79-G79</f>
        <v>20</v>
      </c>
      <c r="J79" s="10">
        <v>1</v>
      </c>
      <c r="K79">
        <f t="shared" ref="K79:K87" si="1">POWER(G79-H79,2)</f>
        <v>400</v>
      </c>
    </row>
    <row r="80" spans="3:11" x14ac:dyDescent="0.3">
      <c r="C80" s="8" t="s">
        <v>11</v>
      </c>
      <c r="D80" s="8">
        <v>3</v>
      </c>
      <c r="E80" s="8">
        <v>2</v>
      </c>
      <c r="F80" s="8">
        <v>60</v>
      </c>
      <c r="G80" s="8">
        <v>40</v>
      </c>
      <c r="H80" s="10">
        <v>55</v>
      </c>
      <c r="I80" s="10">
        <f t="shared" si="0"/>
        <v>15</v>
      </c>
      <c r="J80" s="10">
        <v>1</v>
      </c>
      <c r="K80">
        <f t="shared" si="1"/>
        <v>225</v>
      </c>
    </row>
    <row r="81" spans="3:11" x14ac:dyDescent="0.3">
      <c r="C81" s="8" t="s">
        <v>12</v>
      </c>
      <c r="D81" s="8">
        <v>4</v>
      </c>
      <c r="E81" s="8">
        <v>2</v>
      </c>
      <c r="F81" s="8">
        <v>65</v>
      </c>
      <c r="G81" s="8">
        <v>45</v>
      </c>
      <c r="H81" s="10">
        <v>55</v>
      </c>
      <c r="I81" s="10">
        <f t="shared" si="0"/>
        <v>10</v>
      </c>
      <c r="J81" s="10">
        <v>1</v>
      </c>
      <c r="K81">
        <f t="shared" si="1"/>
        <v>100</v>
      </c>
    </row>
    <row r="82" spans="3:11" x14ac:dyDescent="0.3">
      <c r="C82" s="8" t="s">
        <v>13</v>
      </c>
      <c r="D82" s="8">
        <v>5</v>
      </c>
      <c r="E82" s="8">
        <v>3</v>
      </c>
      <c r="F82" s="8">
        <v>70</v>
      </c>
      <c r="G82" s="8">
        <v>50</v>
      </c>
      <c r="H82" s="10">
        <v>55</v>
      </c>
      <c r="I82" s="10">
        <f t="shared" si="0"/>
        <v>5</v>
      </c>
      <c r="J82" s="10">
        <v>1</v>
      </c>
      <c r="K82">
        <f t="shared" si="1"/>
        <v>25</v>
      </c>
    </row>
    <row r="83" spans="3:11" x14ac:dyDescent="0.3">
      <c r="C83" s="11" t="s">
        <v>14</v>
      </c>
      <c r="D83" s="11">
        <v>6</v>
      </c>
      <c r="E83" s="11">
        <v>3</v>
      </c>
      <c r="F83" s="11">
        <v>75</v>
      </c>
      <c r="G83" s="11">
        <v>60</v>
      </c>
      <c r="H83" s="12">
        <v>55</v>
      </c>
      <c r="I83" s="12">
        <f t="shared" si="0"/>
        <v>-5</v>
      </c>
      <c r="J83" s="12">
        <v>1</v>
      </c>
      <c r="K83">
        <f t="shared" si="1"/>
        <v>25</v>
      </c>
    </row>
    <row r="84" spans="3:11" x14ac:dyDescent="0.3">
      <c r="C84" s="11" t="s">
        <v>15</v>
      </c>
      <c r="D84" s="11">
        <v>7</v>
      </c>
      <c r="E84" s="11">
        <v>4</v>
      </c>
      <c r="F84" s="11">
        <v>80</v>
      </c>
      <c r="G84" s="11">
        <v>65</v>
      </c>
      <c r="H84" s="12">
        <v>55</v>
      </c>
      <c r="I84" s="12">
        <f t="shared" si="0"/>
        <v>-10</v>
      </c>
      <c r="J84" s="12">
        <v>1</v>
      </c>
      <c r="K84">
        <f t="shared" si="1"/>
        <v>100</v>
      </c>
    </row>
    <row r="85" spans="3:11" x14ac:dyDescent="0.3">
      <c r="C85" s="11" t="s">
        <v>16</v>
      </c>
      <c r="D85" s="11">
        <v>8</v>
      </c>
      <c r="E85" s="11">
        <v>4</v>
      </c>
      <c r="F85" s="11">
        <v>85</v>
      </c>
      <c r="G85" s="11">
        <v>70</v>
      </c>
      <c r="H85" s="12">
        <v>55</v>
      </c>
      <c r="I85" s="12">
        <f t="shared" si="0"/>
        <v>-15</v>
      </c>
      <c r="J85" s="12">
        <v>1</v>
      </c>
      <c r="K85">
        <f t="shared" si="1"/>
        <v>225</v>
      </c>
    </row>
    <row r="86" spans="3:11" x14ac:dyDescent="0.3">
      <c r="C86" s="11" t="s">
        <v>17</v>
      </c>
      <c r="D86" s="11">
        <v>9</v>
      </c>
      <c r="E86" s="11">
        <v>5</v>
      </c>
      <c r="F86" s="11">
        <v>90</v>
      </c>
      <c r="G86" s="11">
        <v>75</v>
      </c>
      <c r="H86" s="12">
        <v>55</v>
      </c>
      <c r="I86" s="12">
        <f t="shared" si="0"/>
        <v>-20</v>
      </c>
      <c r="J86" s="12">
        <v>1</v>
      </c>
      <c r="K86">
        <f t="shared" si="1"/>
        <v>400</v>
      </c>
    </row>
    <row r="87" spans="3:11" x14ac:dyDescent="0.3">
      <c r="C87" s="11" t="s">
        <v>18</v>
      </c>
      <c r="D87" s="11">
        <v>10</v>
      </c>
      <c r="E87" s="11">
        <v>5</v>
      </c>
      <c r="F87" s="11">
        <v>95</v>
      </c>
      <c r="G87" s="11">
        <v>80</v>
      </c>
      <c r="H87" s="12">
        <v>55</v>
      </c>
      <c r="I87" s="12">
        <f t="shared" si="0"/>
        <v>-25</v>
      </c>
      <c r="J87" s="12">
        <v>1</v>
      </c>
      <c r="K87">
        <f t="shared" si="1"/>
        <v>625</v>
      </c>
    </row>
    <row r="88" spans="3:11" x14ac:dyDescent="0.3">
      <c r="H88" t="s">
        <v>33</v>
      </c>
      <c r="I88">
        <f>SUM(I78:I87)</f>
        <v>0</v>
      </c>
      <c r="J88">
        <f>SUM(J78:J87)</f>
        <v>10</v>
      </c>
      <c r="K88">
        <f>SUM(K78:K87)</f>
        <v>2750</v>
      </c>
    </row>
    <row r="89" spans="3:11" x14ac:dyDescent="0.3">
      <c r="K89" s="6">
        <f>K88/2</f>
        <v>1375</v>
      </c>
    </row>
    <row r="112" spans="3:5" x14ac:dyDescent="0.3">
      <c r="C112" t="s">
        <v>35</v>
      </c>
      <c r="E112" t="s">
        <v>36</v>
      </c>
    </row>
    <row r="113" spans="3:5" x14ac:dyDescent="0.3">
      <c r="C113" t="s">
        <v>37</v>
      </c>
      <c r="E113" t="s">
        <v>38</v>
      </c>
    </row>
    <row r="117" spans="3:5" x14ac:dyDescent="0.3">
      <c r="C117" t="s">
        <v>39</v>
      </c>
    </row>
    <row r="133" spans="4:6" x14ac:dyDescent="0.3">
      <c r="F133" t="s">
        <v>40</v>
      </c>
    </row>
    <row r="134" spans="4:6" x14ac:dyDescent="0.3">
      <c r="D134" s="1" t="s">
        <v>5</v>
      </c>
      <c r="F134" t="s">
        <v>41</v>
      </c>
    </row>
    <row r="135" spans="4:6" x14ac:dyDescent="0.3">
      <c r="D135" s="7">
        <v>1</v>
      </c>
    </row>
    <row r="136" spans="4:6" x14ac:dyDescent="0.3">
      <c r="D136" s="7">
        <v>2</v>
      </c>
    </row>
    <row r="137" spans="4:6" x14ac:dyDescent="0.3">
      <c r="D137" s="7">
        <v>3</v>
      </c>
      <c r="F137" t="s">
        <v>42</v>
      </c>
    </row>
    <row r="138" spans="4:6" x14ac:dyDescent="0.3">
      <c r="D138" s="7">
        <v>4</v>
      </c>
    </row>
    <row r="139" spans="4:6" x14ac:dyDescent="0.3">
      <c r="D139" s="7">
        <v>5</v>
      </c>
    </row>
    <row r="140" spans="4:6" x14ac:dyDescent="0.3">
      <c r="D140" s="8">
        <v>6</v>
      </c>
      <c r="F140" t="s">
        <v>43</v>
      </c>
    </row>
    <row r="141" spans="4:6" x14ac:dyDescent="0.3">
      <c r="D141" s="8">
        <v>7</v>
      </c>
    </row>
    <row r="142" spans="4:6" x14ac:dyDescent="0.3">
      <c r="D142" s="8">
        <v>8</v>
      </c>
    </row>
    <row r="143" spans="4:6" x14ac:dyDescent="0.3">
      <c r="D143" s="8">
        <v>9</v>
      </c>
    </row>
    <row r="144" spans="4:6" x14ac:dyDescent="0.3">
      <c r="D144" s="8">
        <v>10</v>
      </c>
    </row>
    <row r="159" spans="4:11" ht="28.8" x14ac:dyDescent="0.3">
      <c r="D159" s="13" t="s">
        <v>4</v>
      </c>
      <c r="E159" s="13" t="s">
        <v>5</v>
      </c>
      <c r="F159" s="13" t="s">
        <v>6</v>
      </c>
      <c r="G159" s="13" t="s">
        <v>7</v>
      </c>
      <c r="H159" s="13" t="s">
        <v>8</v>
      </c>
      <c r="I159" s="13" t="s">
        <v>29</v>
      </c>
      <c r="J159" s="13" t="s">
        <v>31</v>
      </c>
      <c r="K159" s="13" t="s">
        <v>32</v>
      </c>
    </row>
    <row r="160" spans="4:11" x14ac:dyDescent="0.3">
      <c r="D160" s="14" t="s">
        <v>9</v>
      </c>
      <c r="E160" s="14">
        <v>1</v>
      </c>
      <c r="F160" s="14">
        <v>1</v>
      </c>
      <c r="G160" s="14">
        <v>50</v>
      </c>
      <c r="H160" s="14">
        <v>30</v>
      </c>
      <c r="I160" s="15">
        <v>55</v>
      </c>
      <c r="J160" s="15">
        <f>I160-H160</f>
        <v>25</v>
      </c>
      <c r="K160" s="15">
        <v>1</v>
      </c>
    </row>
    <row r="161" spans="4:11" x14ac:dyDescent="0.3">
      <c r="D161" s="14" t="s">
        <v>10</v>
      </c>
      <c r="E161" s="14">
        <v>2</v>
      </c>
      <c r="F161" s="14">
        <v>1</v>
      </c>
      <c r="G161" s="14">
        <v>55</v>
      </c>
      <c r="H161" s="14">
        <v>35</v>
      </c>
      <c r="I161" s="15">
        <v>55</v>
      </c>
      <c r="J161" s="15">
        <f t="shared" ref="J161:J169" si="2">I161-H161</f>
        <v>20</v>
      </c>
      <c r="K161" s="15">
        <v>1</v>
      </c>
    </row>
    <row r="162" spans="4:11" x14ac:dyDescent="0.3">
      <c r="D162" s="14" t="s">
        <v>11</v>
      </c>
      <c r="E162" s="14">
        <v>3</v>
      </c>
      <c r="F162" s="14">
        <v>2</v>
      </c>
      <c r="G162" s="14">
        <v>60</v>
      </c>
      <c r="H162" s="14">
        <v>40</v>
      </c>
      <c r="I162" s="15">
        <v>55</v>
      </c>
      <c r="J162" s="15">
        <f t="shared" si="2"/>
        <v>15</v>
      </c>
      <c r="K162" s="15">
        <v>1</v>
      </c>
    </row>
    <row r="163" spans="4:11" x14ac:dyDescent="0.3">
      <c r="D163" s="14" t="s">
        <v>12</v>
      </c>
      <c r="E163" s="14">
        <v>4</v>
      </c>
      <c r="F163" s="14">
        <v>2</v>
      </c>
      <c r="G163" s="14">
        <v>65</v>
      </c>
      <c r="H163" s="14">
        <v>45</v>
      </c>
      <c r="I163" s="15">
        <v>55</v>
      </c>
      <c r="J163" s="15">
        <f t="shared" si="2"/>
        <v>10</v>
      </c>
      <c r="K163" s="15">
        <v>1</v>
      </c>
    </row>
    <row r="164" spans="4:11" x14ac:dyDescent="0.3">
      <c r="D164" s="14" t="s">
        <v>13</v>
      </c>
      <c r="E164" s="14">
        <v>5</v>
      </c>
      <c r="F164" s="14">
        <v>3</v>
      </c>
      <c r="G164" s="14">
        <v>70</v>
      </c>
      <c r="H164" s="14">
        <v>50</v>
      </c>
      <c r="I164" s="15">
        <v>55</v>
      </c>
      <c r="J164" s="15">
        <f t="shared" si="2"/>
        <v>5</v>
      </c>
      <c r="K164" s="15">
        <v>1</v>
      </c>
    </row>
    <row r="165" spans="4:11" x14ac:dyDescent="0.3">
      <c r="D165" s="14" t="s">
        <v>14</v>
      </c>
      <c r="E165" s="14">
        <v>6</v>
      </c>
      <c r="F165" s="14">
        <v>3</v>
      </c>
      <c r="G165" s="14">
        <v>75</v>
      </c>
      <c r="H165" s="14">
        <v>60</v>
      </c>
      <c r="I165" s="15">
        <v>55</v>
      </c>
      <c r="J165" s="15">
        <f t="shared" si="2"/>
        <v>-5</v>
      </c>
      <c r="K165" s="15">
        <v>1</v>
      </c>
    </row>
    <row r="166" spans="4:11" x14ac:dyDescent="0.3">
      <c r="D166" s="14" t="s">
        <v>15</v>
      </c>
      <c r="E166" s="14">
        <v>7</v>
      </c>
      <c r="F166" s="14">
        <v>4</v>
      </c>
      <c r="G166" s="14">
        <v>80</v>
      </c>
      <c r="H166" s="14">
        <v>65</v>
      </c>
      <c r="I166" s="15">
        <v>55</v>
      </c>
      <c r="J166" s="15">
        <f t="shared" si="2"/>
        <v>-10</v>
      </c>
      <c r="K166" s="15">
        <v>1</v>
      </c>
    </row>
    <row r="167" spans="4:11" x14ac:dyDescent="0.3">
      <c r="D167" s="14" t="s">
        <v>16</v>
      </c>
      <c r="E167" s="14">
        <v>8</v>
      </c>
      <c r="F167" s="14">
        <v>4</v>
      </c>
      <c r="G167" s="14">
        <v>85</v>
      </c>
      <c r="H167" s="14">
        <v>70</v>
      </c>
      <c r="I167" s="15">
        <v>55</v>
      </c>
      <c r="J167" s="15">
        <f t="shared" si="2"/>
        <v>-15</v>
      </c>
      <c r="K167" s="15">
        <v>1</v>
      </c>
    </row>
    <row r="168" spans="4:11" x14ac:dyDescent="0.3">
      <c r="D168" s="14" t="s">
        <v>17</v>
      </c>
      <c r="E168" s="14">
        <v>9</v>
      </c>
      <c r="F168" s="14">
        <v>5</v>
      </c>
      <c r="G168" s="14">
        <v>90</v>
      </c>
      <c r="H168" s="14">
        <v>75</v>
      </c>
      <c r="I168" s="15">
        <v>55</v>
      </c>
      <c r="J168" s="15">
        <f t="shared" si="2"/>
        <v>-20</v>
      </c>
      <c r="K168" s="15">
        <v>1</v>
      </c>
    </row>
    <row r="169" spans="4:11" x14ac:dyDescent="0.3">
      <c r="D169" s="14" t="s">
        <v>18</v>
      </c>
      <c r="E169" s="14">
        <v>10</v>
      </c>
      <c r="F169" s="14">
        <v>5</v>
      </c>
      <c r="G169" s="14">
        <v>95</v>
      </c>
      <c r="H169" s="14">
        <v>80</v>
      </c>
      <c r="I169" s="15">
        <v>55</v>
      </c>
      <c r="J169" s="15">
        <f t="shared" si="2"/>
        <v>-25</v>
      </c>
      <c r="K169" s="15">
        <v>1</v>
      </c>
    </row>
    <row r="171" spans="4:11" x14ac:dyDescent="0.3">
      <c r="E171" s="17">
        <v>1</v>
      </c>
    </row>
    <row r="172" spans="4:11" x14ac:dyDescent="0.3">
      <c r="E172" s="18">
        <v>2</v>
      </c>
      <c r="F172" s="16">
        <v>1.5</v>
      </c>
      <c r="G172" s="16"/>
    </row>
    <row r="173" spans="4:11" x14ac:dyDescent="0.3">
      <c r="E173" s="18">
        <v>3</v>
      </c>
      <c r="F173" s="16">
        <v>2.5</v>
      </c>
    </row>
    <row r="174" spans="4:11" x14ac:dyDescent="0.3">
      <c r="E174" s="18">
        <v>4</v>
      </c>
      <c r="F174" s="16">
        <v>3.5</v>
      </c>
    </row>
    <row r="175" spans="4:11" x14ac:dyDescent="0.3">
      <c r="E175" s="18">
        <v>5</v>
      </c>
      <c r="F175" s="16">
        <v>4.5</v>
      </c>
    </row>
    <row r="176" spans="4:11" x14ac:dyDescent="0.3">
      <c r="E176" s="18">
        <v>6</v>
      </c>
      <c r="F176" s="16">
        <v>5.5</v>
      </c>
    </row>
    <row r="177" spans="4:9" x14ac:dyDescent="0.3">
      <c r="E177" s="18">
        <v>7</v>
      </c>
      <c r="F177" s="16">
        <v>6.5</v>
      </c>
    </row>
    <row r="178" spans="4:9" x14ac:dyDescent="0.3">
      <c r="E178" s="18">
        <v>8</v>
      </c>
      <c r="F178" s="16">
        <v>7.6</v>
      </c>
    </row>
    <row r="179" spans="4:9" x14ac:dyDescent="0.3">
      <c r="E179" s="18">
        <v>9</v>
      </c>
      <c r="F179" s="16">
        <v>8.5</v>
      </c>
    </row>
    <row r="180" spans="4:9" x14ac:dyDescent="0.3">
      <c r="E180" s="18">
        <v>10</v>
      </c>
      <c r="F180" s="16">
        <v>9.5</v>
      </c>
    </row>
    <row r="187" spans="4:9" x14ac:dyDescent="0.3">
      <c r="D187" t="s">
        <v>44</v>
      </c>
      <c r="E187" t="s">
        <v>45</v>
      </c>
      <c r="F187">
        <v>25</v>
      </c>
      <c r="H187" t="s">
        <v>47</v>
      </c>
      <c r="I187">
        <v>1</v>
      </c>
    </row>
    <row r="188" spans="4:9" x14ac:dyDescent="0.3">
      <c r="E188" t="s">
        <v>46</v>
      </c>
      <c r="F188">
        <v>-25</v>
      </c>
      <c r="H188" t="s">
        <v>48</v>
      </c>
      <c r="I188">
        <v>9</v>
      </c>
    </row>
    <row r="194" spans="4:13" x14ac:dyDescent="0.3">
      <c r="K194">
        <f>625/2</f>
        <v>312.5</v>
      </c>
      <c r="L194">
        <f>625/10</f>
        <v>62.5</v>
      </c>
    </row>
    <row r="196" spans="4:13" x14ac:dyDescent="0.3">
      <c r="L196">
        <f>SUM(K194+L194)</f>
        <v>375</v>
      </c>
    </row>
    <row r="197" spans="4:13" x14ac:dyDescent="0.3">
      <c r="H197">
        <f>4900/5</f>
        <v>980</v>
      </c>
      <c r="L197">
        <f>L196/2</f>
        <v>187.5</v>
      </c>
    </row>
    <row r="198" spans="4:13" x14ac:dyDescent="0.3">
      <c r="H198">
        <f>4900/7</f>
        <v>700</v>
      </c>
    </row>
    <row r="199" spans="4:13" x14ac:dyDescent="0.3">
      <c r="H199">
        <f>SUM(H197:H198)</f>
        <v>1680</v>
      </c>
    </row>
    <row r="200" spans="4:13" x14ac:dyDescent="0.3">
      <c r="H200">
        <f>H199/2</f>
        <v>840</v>
      </c>
    </row>
    <row r="202" spans="4:13" x14ac:dyDescent="0.3">
      <c r="M202" t="s">
        <v>49</v>
      </c>
    </row>
    <row r="204" spans="4:13" ht="28.8" x14ac:dyDescent="0.3">
      <c r="D204" s="13" t="s">
        <v>4</v>
      </c>
      <c r="E204" s="13" t="s">
        <v>5</v>
      </c>
      <c r="F204" s="13" t="s">
        <v>6</v>
      </c>
      <c r="G204" s="13" t="s">
        <v>7</v>
      </c>
      <c r="H204" s="13" t="s">
        <v>8</v>
      </c>
      <c r="I204" s="13" t="s">
        <v>29</v>
      </c>
      <c r="J204" s="13" t="s">
        <v>31</v>
      </c>
      <c r="K204" s="13" t="s">
        <v>32</v>
      </c>
    </row>
    <row r="205" spans="4:13" x14ac:dyDescent="0.3">
      <c r="D205" s="17" t="s">
        <v>9</v>
      </c>
      <c r="E205" s="17">
        <v>1</v>
      </c>
      <c r="F205" s="17">
        <v>1</v>
      </c>
      <c r="G205" s="17">
        <v>50</v>
      </c>
      <c r="H205" s="17">
        <v>30</v>
      </c>
      <c r="I205" s="19">
        <v>55</v>
      </c>
      <c r="J205" s="19">
        <f>I205-H205</f>
        <v>25</v>
      </c>
      <c r="K205" s="19">
        <v>1</v>
      </c>
    </row>
    <row r="206" spans="4:13" x14ac:dyDescent="0.3">
      <c r="D206" s="17" t="s">
        <v>10</v>
      </c>
      <c r="E206" s="17">
        <v>2</v>
      </c>
      <c r="F206" s="17">
        <v>1</v>
      </c>
      <c r="G206" s="17">
        <v>55</v>
      </c>
      <c r="H206" s="17">
        <v>35</v>
      </c>
      <c r="I206" s="19">
        <v>55</v>
      </c>
      <c r="J206" s="19">
        <f t="shared" ref="J206:J214" si="3">I206-H206</f>
        <v>20</v>
      </c>
      <c r="K206" s="19">
        <v>1</v>
      </c>
    </row>
    <row r="207" spans="4:13" x14ac:dyDescent="0.3">
      <c r="D207" s="17" t="s">
        <v>11</v>
      </c>
      <c r="E207" s="17">
        <v>3</v>
      </c>
      <c r="F207" s="17">
        <v>2</v>
      </c>
      <c r="G207" s="17">
        <v>60</v>
      </c>
      <c r="H207" s="17">
        <v>40</v>
      </c>
      <c r="I207" s="19">
        <v>55</v>
      </c>
      <c r="J207" s="19">
        <f t="shared" si="3"/>
        <v>15</v>
      </c>
      <c r="K207" s="19">
        <v>1</v>
      </c>
    </row>
    <row r="208" spans="4:13" x14ac:dyDescent="0.3">
      <c r="D208" s="17" t="s">
        <v>12</v>
      </c>
      <c r="E208" s="17">
        <v>4</v>
      </c>
      <c r="F208" s="17">
        <v>2</v>
      </c>
      <c r="G208" s="17">
        <v>65</v>
      </c>
      <c r="H208" s="17">
        <v>45</v>
      </c>
      <c r="I208" s="19">
        <v>55</v>
      </c>
      <c r="J208" s="19">
        <f t="shared" si="3"/>
        <v>10</v>
      </c>
      <c r="K208" s="19">
        <v>1</v>
      </c>
    </row>
    <row r="209" spans="4:11" x14ac:dyDescent="0.3">
      <c r="D209" s="20" t="s">
        <v>13</v>
      </c>
      <c r="E209" s="20">
        <v>5</v>
      </c>
      <c r="F209" s="20">
        <v>3</v>
      </c>
      <c r="G209" s="20">
        <v>70</v>
      </c>
      <c r="H209" s="20">
        <v>50</v>
      </c>
      <c r="I209" s="21">
        <v>55</v>
      </c>
      <c r="J209" s="21">
        <f t="shared" si="3"/>
        <v>5</v>
      </c>
      <c r="K209" s="21">
        <v>1</v>
      </c>
    </row>
    <row r="210" spans="4:11" x14ac:dyDescent="0.3">
      <c r="D210" s="20" t="s">
        <v>14</v>
      </c>
      <c r="E210" s="20">
        <v>6</v>
      </c>
      <c r="F210" s="20">
        <v>3</v>
      </c>
      <c r="G210" s="20">
        <v>75</v>
      </c>
      <c r="H210" s="20">
        <v>60</v>
      </c>
      <c r="I210" s="21">
        <v>55</v>
      </c>
      <c r="J210" s="21">
        <f t="shared" si="3"/>
        <v>-5</v>
      </c>
      <c r="K210" s="21">
        <v>1</v>
      </c>
    </row>
    <row r="211" spans="4:11" x14ac:dyDescent="0.3">
      <c r="D211" s="20" t="s">
        <v>15</v>
      </c>
      <c r="E211" s="20">
        <v>7</v>
      </c>
      <c r="F211" s="20">
        <v>4</v>
      </c>
      <c r="G211" s="20">
        <v>80</v>
      </c>
      <c r="H211" s="20">
        <v>65</v>
      </c>
      <c r="I211" s="21">
        <v>55</v>
      </c>
      <c r="J211" s="21">
        <f t="shared" si="3"/>
        <v>-10</v>
      </c>
      <c r="K211" s="21">
        <v>1</v>
      </c>
    </row>
    <row r="212" spans="4:11" x14ac:dyDescent="0.3">
      <c r="D212" s="20" t="s">
        <v>16</v>
      </c>
      <c r="E212" s="20">
        <v>8</v>
      </c>
      <c r="F212" s="20">
        <v>4</v>
      </c>
      <c r="G212" s="20">
        <v>85</v>
      </c>
      <c r="H212" s="20">
        <v>70</v>
      </c>
      <c r="I212" s="21">
        <v>55</v>
      </c>
      <c r="J212" s="21">
        <f t="shared" si="3"/>
        <v>-15</v>
      </c>
      <c r="K212" s="21">
        <v>1</v>
      </c>
    </row>
    <row r="213" spans="4:11" x14ac:dyDescent="0.3">
      <c r="D213" s="20" t="s">
        <v>17</v>
      </c>
      <c r="E213" s="20">
        <v>9</v>
      </c>
      <c r="F213" s="20">
        <v>5</v>
      </c>
      <c r="G213" s="20">
        <v>90</v>
      </c>
      <c r="H213" s="20">
        <v>75</v>
      </c>
      <c r="I213" s="21">
        <v>55</v>
      </c>
      <c r="J213" s="21">
        <f t="shared" si="3"/>
        <v>-20</v>
      </c>
      <c r="K213" s="21">
        <v>1</v>
      </c>
    </row>
    <row r="214" spans="4:11" x14ac:dyDescent="0.3">
      <c r="D214" s="20" t="s">
        <v>18</v>
      </c>
      <c r="E214" s="20">
        <v>10</v>
      </c>
      <c r="F214" s="20">
        <v>5</v>
      </c>
      <c r="G214" s="20">
        <v>95</v>
      </c>
      <c r="H214" s="20">
        <v>80</v>
      </c>
      <c r="I214" s="21">
        <v>55</v>
      </c>
      <c r="J214" s="21">
        <f t="shared" si="3"/>
        <v>-25</v>
      </c>
      <c r="K214" s="21">
        <v>1</v>
      </c>
    </row>
    <row r="289" spans="4:6" x14ac:dyDescent="0.3">
      <c r="D289" t="s">
        <v>50</v>
      </c>
      <c r="E289" t="s">
        <v>51</v>
      </c>
      <c r="F289" t="s">
        <v>52</v>
      </c>
    </row>
    <row r="290" spans="4:6" x14ac:dyDescent="0.3">
      <c r="E290" t="s">
        <v>53</v>
      </c>
      <c r="F290" t="s">
        <v>54</v>
      </c>
    </row>
    <row r="291" spans="4:6" x14ac:dyDescent="0.3">
      <c r="E291" t="s">
        <v>55</v>
      </c>
    </row>
    <row r="292" spans="4:6" x14ac:dyDescent="0.3">
      <c r="E292" t="s">
        <v>56</v>
      </c>
    </row>
    <row r="320" spans="12:12" x14ac:dyDescent="0.3">
      <c r="L320" t="s">
        <v>57</v>
      </c>
    </row>
    <row r="321" spans="12:12" x14ac:dyDescent="0.3">
      <c r="L321" t="s">
        <v>58</v>
      </c>
    </row>
    <row r="322" spans="12:12" x14ac:dyDescent="0.3">
      <c r="L322" t="s">
        <v>59</v>
      </c>
    </row>
    <row r="323" spans="12:12" x14ac:dyDescent="0.3">
      <c r="L323" t="s">
        <v>60</v>
      </c>
    </row>
    <row r="324" spans="12:12" x14ac:dyDescent="0.3">
      <c r="L324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2026-10-13T03:41:49Z</dcterms:created>
  <dcterms:modified xsi:type="dcterms:W3CDTF">2026-10-13T04:35:34Z</dcterms:modified>
</cp:coreProperties>
</file>