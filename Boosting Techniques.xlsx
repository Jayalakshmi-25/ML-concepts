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12" windowHeight="30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42" i="2" l="1"/>
  <c r="M173" i="2"/>
  <c r="M172" i="2"/>
  <c r="M167" i="2"/>
  <c r="M166" i="2"/>
  <c r="M165" i="2"/>
  <c r="M164" i="2"/>
  <c r="M161" i="2"/>
  <c r="K149" i="2"/>
  <c r="K148" i="2"/>
  <c r="K147" i="2"/>
  <c r="K146" i="2"/>
  <c r="K145" i="2"/>
  <c r="K144" i="2"/>
  <c r="K143" i="2"/>
  <c r="K142" i="2"/>
  <c r="K141" i="2"/>
  <c r="K140" i="2"/>
  <c r="G133" i="2"/>
  <c r="G132" i="2"/>
  <c r="H130" i="2"/>
  <c r="H129" i="2"/>
  <c r="H79" i="2"/>
  <c r="H78" i="2"/>
  <c r="H77" i="2"/>
  <c r="F77" i="2"/>
  <c r="H63" i="2"/>
  <c r="D15" i="2"/>
</calcChain>
</file>

<file path=xl/sharedStrings.xml><?xml version="1.0" encoding="utf-8"?>
<sst xmlns="http://schemas.openxmlformats.org/spreadsheetml/2006/main" count="130" uniqueCount="76">
  <si>
    <t>Boosting Algorithms</t>
  </si>
  <si>
    <t>Ada Boosting</t>
  </si>
  <si>
    <t>Gradient Boosting</t>
  </si>
  <si>
    <t>XG Boosting</t>
  </si>
  <si>
    <t>Regression</t>
  </si>
  <si>
    <t>Classification</t>
  </si>
  <si>
    <t>Boosting</t>
  </si>
  <si>
    <t>Ensemble Model</t>
  </si>
  <si>
    <t>Model 1</t>
  </si>
  <si>
    <t>Input to Model 2</t>
  </si>
  <si>
    <t>output of model 2</t>
  </si>
  <si>
    <t>Output of Model 1</t>
  </si>
  <si>
    <t>input to Model 3</t>
  </si>
  <si>
    <t xml:space="preserve">output </t>
  </si>
  <si>
    <t>Actual and Predicted values</t>
  </si>
  <si>
    <t>Adaptive Boosting</t>
  </si>
  <si>
    <t>Build several weak models sequntially</t>
  </si>
  <si>
    <t>afte each model increase the importance of weight for wrong predcitos or errors</t>
  </si>
  <si>
    <t>next model focus more on the errors or difficult observations</t>
  </si>
  <si>
    <t>Row</t>
  </si>
  <si>
    <t>Age</t>
  </si>
  <si>
    <t>Income (₹000)</t>
  </si>
  <si>
    <t>Credit Score</t>
  </si>
  <si>
    <t>Loan (₹L)</t>
  </si>
  <si>
    <t>Experience</t>
  </si>
  <si>
    <t>Default Y</t>
  </si>
  <si>
    <t>−1</t>
  </si>
  <si>
    <t>positve class</t>
  </si>
  <si>
    <t>negative class</t>
  </si>
  <si>
    <t>x</t>
  </si>
  <si>
    <t>age</t>
  </si>
  <si>
    <t>income</t>
  </si>
  <si>
    <t>credit score</t>
  </si>
  <si>
    <t>loan</t>
  </si>
  <si>
    <t>experience</t>
  </si>
  <si>
    <t>y</t>
  </si>
  <si>
    <t>paying emi or not</t>
  </si>
  <si>
    <t>Step 1</t>
  </si>
  <si>
    <t>Assign equal weights for each row</t>
  </si>
  <si>
    <t>Initial Weight</t>
  </si>
  <si>
    <t>if credit score &lt;640</t>
  </si>
  <si>
    <t>then 1-1else 1</t>
  </si>
  <si>
    <t>credit score, y</t>
  </si>
  <si>
    <t>stump</t>
  </si>
  <si>
    <t>weak learner</t>
  </si>
  <si>
    <t>stump 1 predictions</t>
  </si>
  <si>
    <t>actual y</t>
  </si>
  <si>
    <t>predicted y</t>
  </si>
  <si>
    <t>Correct</t>
  </si>
  <si>
    <t>yes</t>
  </si>
  <si>
    <t>No</t>
  </si>
  <si>
    <t>error</t>
  </si>
  <si>
    <t>weighted accuracy</t>
  </si>
  <si>
    <t xml:space="preserve">Amount of say </t>
  </si>
  <si>
    <t>how much importance I should give for error</t>
  </si>
  <si>
    <t xml:space="preserve">importance of error </t>
  </si>
  <si>
    <t>by using alpha we will update old weights and change to new weights</t>
  </si>
  <si>
    <t>e to the power of alpha</t>
  </si>
  <si>
    <t>for wrong predictions</t>
  </si>
  <si>
    <t>right prediction</t>
  </si>
  <si>
    <t>Updated weights</t>
  </si>
  <si>
    <t>Build Decision Stump 2</t>
  </si>
  <si>
    <t>updated weights</t>
  </si>
  <si>
    <t>e to the power of - alpha</t>
  </si>
  <si>
    <t>we have stump 1 predictions</t>
  </si>
  <si>
    <t>we also have stum 2 prediction</t>
  </si>
  <si>
    <t xml:space="preserve">stump 3 </t>
  </si>
  <si>
    <t>stump 4</t>
  </si>
  <si>
    <t>alpha 1</t>
  </si>
  <si>
    <t>alpha 2</t>
  </si>
  <si>
    <t>alpha 3</t>
  </si>
  <si>
    <t>alpha 4</t>
  </si>
  <si>
    <t xml:space="preserve">stump 1 predicts </t>
  </si>
  <si>
    <t>&gt;0 then defaul yes</t>
  </si>
  <si>
    <t>&gt;0</t>
  </si>
  <si>
    <t>&lt;0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</si>
</sst>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69802</xdr:colOff>
      <xdr:row>63</xdr:row>
      <xdr:rowOff>110520</xdr:rowOff>
    </xdr:from>
    <xdr:to>
      <xdr:col>8</xdr:col>
      <xdr:colOff>30669</xdr:colOff>
      <xdr:row>70</xdr:row>
      <xdr:rowOff>159029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4367" y="11470718"/>
          <a:ext cx="3520745" cy="1310754"/>
        </a:xfrm>
        <a:prstGeom prst="rect">
          <a:avLst/>
        </a:prstGeom>
      </xdr:spPr>
    </xdr:pic>
    <xdr:clientData/>
  </xdr:twoCellAnchor>
  <xdr:twoCellAnchor editAs="oneCell">
    <xdr:from>
      <xdr:col>3</xdr:col>
      <xdr:colOff>715466</xdr:colOff>
      <xdr:row>82</xdr:row>
      <xdr:rowOff>93069</xdr:rowOff>
    </xdr:from>
    <xdr:to>
      <xdr:col>11</xdr:col>
      <xdr:colOff>120733</xdr:colOff>
      <xdr:row>97</xdr:row>
      <xdr:rowOff>17388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5481" y="14879359"/>
          <a:ext cx="5768840" cy="262912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12</xdr:col>
      <xdr:colOff>158446</xdr:colOff>
      <xdr:row>118</xdr:row>
      <xdr:rowOff>86819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3302" y="17762279"/>
          <a:ext cx="6378493" cy="3932261"/>
        </a:xfrm>
        <a:prstGeom prst="rect">
          <a:avLst/>
        </a:prstGeom>
      </xdr:spPr>
    </xdr:pic>
    <xdr:clientData/>
  </xdr:twoCellAnchor>
  <xdr:twoCellAnchor editAs="oneCell">
    <xdr:from>
      <xdr:col>3</xdr:col>
      <xdr:colOff>244765</xdr:colOff>
      <xdr:row>155</xdr:row>
      <xdr:rowOff>149775</xdr:rowOff>
    </xdr:from>
    <xdr:to>
      <xdr:col>10</xdr:col>
      <xdr:colOff>120691</xdr:colOff>
      <xdr:row>181</xdr:row>
      <xdr:rowOff>36260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7313" y="28724775"/>
          <a:ext cx="5627797" cy="467971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178</xdr:row>
      <xdr:rowOff>0</xdr:rowOff>
    </xdr:from>
    <xdr:to>
      <xdr:col>19</xdr:col>
      <xdr:colOff>339540</xdr:colOff>
      <xdr:row>187</xdr:row>
      <xdr:rowOff>114692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2406" y="32849344"/>
          <a:ext cx="5197290" cy="177561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200</xdr:row>
      <xdr:rowOff>0</xdr:rowOff>
    </xdr:from>
    <xdr:to>
      <xdr:col>24</xdr:col>
      <xdr:colOff>110602</xdr:colOff>
      <xdr:row>226</xdr:row>
      <xdr:rowOff>2797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6844" y="36909375"/>
          <a:ext cx="6790008" cy="4801016"/>
        </a:xfrm>
        <a:prstGeom prst="rect">
          <a:avLst/>
        </a:prstGeom>
      </xdr:spPr>
    </xdr:pic>
    <xdr:clientData/>
  </xdr:twoCellAnchor>
  <xdr:twoCellAnchor editAs="oneCell">
    <xdr:from>
      <xdr:col>17</xdr:col>
      <xdr:colOff>361462</xdr:colOff>
      <xdr:row>231</xdr:row>
      <xdr:rowOff>112346</xdr:rowOff>
    </xdr:from>
    <xdr:to>
      <xdr:col>25</xdr:col>
      <xdr:colOff>376932</xdr:colOff>
      <xdr:row>235</xdr:row>
      <xdr:rowOff>128627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859847" y="41861154"/>
          <a:ext cx="4900085" cy="739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2"/>
  <sheetViews>
    <sheetView topLeftCell="B18" zoomScale="117" workbookViewId="0">
      <selection activeCell="B27" sqref="B27"/>
    </sheetView>
  </sheetViews>
  <sheetFormatPr defaultRowHeight="14.4" x14ac:dyDescent="0.3"/>
  <cols>
    <col min="2" max="2" width="69.6640625" bestFit="1" customWidth="1"/>
    <col min="3" max="3" width="16.6640625" bestFit="1" customWidth="1"/>
    <col min="4" max="4" width="24.5546875" bestFit="1" customWidth="1"/>
    <col min="5" max="5" width="12" bestFit="1" customWidth="1"/>
    <col min="6" max="6" width="8.44140625" bestFit="1" customWidth="1"/>
    <col min="7" max="7" width="10.109375" bestFit="1" customWidth="1"/>
    <col min="8" max="8" width="8.5546875" bestFit="1" customWidth="1"/>
  </cols>
  <sheetData>
    <row r="2" spans="2:5" x14ac:dyDescent="0.3">
      <c r="B2" t="s">
        <v>0</v>
      </c>
    </row>
    <row r="4" spans="2:5" x14ac:dyDescent="0.3">
      <c r="C4" s="1" t="s">
        <v>1</v>
      </c>
      <c r="D4" s="1" t="s">
        <v>4</v>
      </c>
      <c r="E4" s="1" t="s">
        <v>5</v>
      </c>
    </row>
    <row r="5" spans="2:5" x14ac:dyDescent="0.3">
      <c r="C5" s="1" t="s">
        <v>2</v>
      </c>
      <c r="D5" s="1" t="s">
        <v>4</v>
      </c>
      <c r="E5" s="1" t="s">
        <v>5</v>
      </c>
    </row>
    <row r="6" spans="2:5" x14ac:dyDescent="0.3">
      <c r="C6" s="1" t="s">
        <v>3</v>
      </c>
      <c r="D6" s="1" t="s">
        <v>4</v>
      </c>
      <c r="E6" s="1" t="s">
        <v>5</v>
      </c>
    </row>
    <row r="8" spans="2:5" x14ac:dyDescent="0.3">
      <c r="B8" t="s">
        <v>6</v>
      </c>
      <c r="C8" t="s">
        <v>7</v>
      </c>
    </row>
    <row r="10" spans="2:5" x14ac:dyDescent="0.3">
      <c r="B10" t="s">
        <v>8</v>
      </c>
      <c r="C10" t="s">
        <v>11</v>
      </c>
      <c r="D10" t="s">
        <v>14</v>
      </c>
    </row>
    <row r="11" spans="2:5" x14ac:dyDescent="0.3">
      <c r="B11" t="s">
        <v>9</v>
      </c>
      <c r="C11" t="s">
        <v>10</v>
      </c>
    </row>
    <row r="12" spans="2:5" x14ac:dyDescent="0.3">
      <c r="B12" t="s">
        <v>12</v>
      </c>
      <c r="C12" t="s">
        <v>13</v>
      </c>
    </row>
    <row r="14" spans="2:5" x14ac:dyDescent="0.3">
      <c r="B14" t="s">
        <v>1</v>
      </c>
      <c r="C14" t="s">
        <v>15</v>
      </c>
    </row>
    <row r="16" spans="2:5" x14ac:dyDescent="0.3">
      <c r="B16" t="s">
        <v>16</v>
      </c>
    </row>
    <row r="17" spans="2:8" x14ac:dyDescent="0.3">
      <c r="B17" t="s">
        <v>17</v>
      </c>
    </row>
    <row r="18" spans="2:8" x14ac:dyDescent="0.3">
      <c r="B18" t="s">
        <v>18</v>
      </c>
    </row>
    <row r="22" spans="2:8" x14ac:dyDescent="0.3"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25</v>
      </c>
    </row>
    <row r="23" spans="2:8" x14ac:dyDescent="0.3">
      <c r="B23" s="2">
        <v>1</v>
      </c>
      <c r="C23" s="2">
        <v>22</v>
      </c>
      <c r="D23" s="2">
        <v>25</v>
      </c>
      <c r="E23" s="2">
        <v>580</v>
      </c>
      <c r="F23" s="2">
        <v>5</v>
      </c>
      <c r="G23" s="2">
        <v>1</v>
      </c>
      <c r="H23" s="2">
        <v>1</v>
      </c>
    </row>
    <row r="24" spans="2:8" x14ac:dyDescent="0.3">
      <c r="B24" s="2">
        <v>2</v>
      </c>
      <c r="C24" s="2">
        <v>25</v>
      </c>
      <c r="D24" s="2">
        <v>30</v>
      </c>
      <c r="E24" s="2">
        <v>600</v>
      </c>
      <c r="F24" s="2">
        <v>4</v>
      </c>
      <c r="G24" s="2">
        <v>2</v>
      </c>
      <c r="H24" s="2">
        <v>1</v>
      </c>
    </row>
    <row r="25" spans="2:8" x14ac:dyDescent="0.3">
      <c r="B25" s="2">
        <v>3</v>
      </c>
      <c r="C25" s="2">
        <v>28</v>
      </c>
      <c r="D25" s="2">
        <v>35</v>
      </c>
      <c r="E25" s="2">
        <v>620</v>
      </c>
      <c r="F25" s="2">
        <v>6</v>
      </c>
      <c r="G25" s="2">
        <v>4</v>
      </c>
      <c r="H25" s="2">
        <v>1</v>
      </c>
    </row>
    <row r="26" spans="2:8" x14ac:dyDescent="0.3">
      <c r="B26" s="2">
        <v>4</v>
      </c>
      <c r="C26" s="2">
        <v>32</v>
      </c>
      <c r="D26" s="2">
        <v>45</v>
      </c>
      <c r="E26" s="2">
        <v>650</v>
      </c>
      <c r="F26" s="2">
        <v>5</v>
      </c>
      <c r="G26" s="2">
        <v>7</v>
      </c>
      <c r="H26" s="2" t="s">
        <v>26</v>
      </c>
    </row>
    <row r="27" spans="2:8" x14ac:dyDescent="0.3">
      <c r="B27" s="2">
        <v>5</v>
      </c>
      <c r="C27" s="2">
        <v>35</v>
      </c>
      <c r="D27" s="2">
        <v>50</v>
      </c>
      <c r="E27" s="2">
        <v>670</v>
      </c>
      <c r="F27" s="2">
        <v>7</v>
      </c>
      <c r="G27" s="2">
        <v>9</v>
      </c>
      <c r="H27" s="2" t="s">
        <v>26</v>
      </c>
    </row>
    <row r="28" spans="2:8" x14ac:dyDescent="0.3">
      <c r="B28" s="2">
        <v>6</v>
      </c>
      <c r="C28" s="2">
        <v>40</v>
      </c>
      <c r="D28" s="2">
        <v>55</v>
      </c>
      <c r="E28" s="2">
        <v>690</v>
      </c>
      <c r="F28" s="2">
        <v>6</v>
      </c>
      <c r="G28" s="2">
        <v>12</v>
      </c>
      <c r="H28" s="2" t="s">
        <v>26</v>
      </c>
    </row>
    <row r="29" spans="2:8" x14ac:dyDescent="0.3">
      <c r="B29" s="2">
        <v>7</v>
      </c>
      <c r="C29" s="2">
        <v>45</v>
      </c>
      <c r="D29" s="2">
        <v>60</v>
      </c>
      <c r="E29" s="2">
        <v>710</v>
      </c>
      <c r="F29" s="2">
        <v>8</v>
      </c>
      <c r="G29" s="2">
        <v>15</v>
      </c>
      <c r="H29" s="2" t="s">
        <v>26</v>
      </c>
    </row>
    <row r="30" spans="2:8" x14ac:dyDescent="0.3">
      <c r="B30" s="2">
        <v>8</v>
      </c>
      <c r="C30" s="2">
        <v>48</v>
      </c>
      <c r="D30" s="2">
        <v>65</v>
      </c>
      <c r="E30" s="2">
        <v>720</v>
      </c>
      <c r="F30" s="2">
        <v>9</v>
      </c>
      <c r="G30" s="2">
        <v>18</v>
      </c>
      <c r="H30" s="2" t="s">
        <v>26</v>
      </c>
    </row>
    <row r="31" spans="2:8" x14ac:dyDescent="0.3">
      <c r="B31" s="2">
        <v>9</v>
      </c>
      <c r="C31" s="2">
        <v>52</v>
      </c>
      <c r="D31" s="2">
        <v>70</v>
      </c>
      <c r="E31" s="2">
        <v>740</v>
      </c>
      <c r="F31" s="2">
        <v>10</v>
      </c>
      <c r="G31" s="2">
        <v>20</v>
      </c>
      <c r="H31" s="2" t="s">
        <v>26</v>
      </c>
    </row>
    <row r="32" spans="2:8" x14ac:dyDescent="0.3">
      <c r="B32" s="2">
        <v>10</v>
      </c>
      <c r="C32" s="2">
        <v>55</v>
      </c>
      <c r="D32" s="2">
        <v>80</v>
      </c>
      <c r="E32" s="2">
        <v>760</v>
      </c>
      <c r="F32" s="2">
        <v>12</v>
      </c>
      <c r="G32" s="2">
        <v>25</v>
      </c>
      <c r="H32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2"/>
  <sheetViews>
    <sheetView tabSelected="1" topLeftCell="Q229" zoomScale="156" workbookViewId="0">
      <selection activeCell="X239" sqref="X239"/>
    </sheetView>
  </sheetViews>
  <sheetFormatPr defaultRowHeight="14.4" x14ac:dyDescent="0.3"/>
  <cols>
    <col min="1" max="1" width="4.6640625" bestFit="1" customWidth="1"/>
    <col min="2" max="2" width="4" bestFit="1" customWidth="1"/>
    <col min="3" max="3" width="12.6640625" bestFit="1" customWidth="1"/>
    <col min="4" max="4" width="10.88671875" bestFit="1" customWidth="1"/>
    <col min="5" max="5" width="8.44140625" bestFit="1" customWidth="1"/>
    <col min="6" max="6" width="11.88671875" bestFit="1" customWidth="1"/>
    <col min="7" max="7" width="11.109375" bestFit="1" customWidth="1"/>
    <col min="8" max="8" width="20.44140625" customWidth="1"/>
    <col min="10" max="10" width="12.21875" bestFit="1" customWidth="1"/>
  </cols>
  <sheetData>
    <row r="1" spans="1:11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11" x14ac:dyDescent="0.3">
      <c r="A2" s="2">
        <v>1</v>
      </c>
      <c r="B2" s="2">
        <v>22</v>
      </c>
      <c r="C2" s="2">
        <v>25</v>
      </c>
      <c r="D2" s="2">
        <v>580</v>
      </c>
      <c r="E2" s="2">
        <v>5</v>
      </c>
      <c r="F2" s="2">
        <v>1</v>
      </c>
      <c r="G2" s="2">
        <v>1</v>
      </c>
    </row>
    <row r="3" spans="1:11" x14ac:dyDescent="0.3">
      <c r="A3" s="2">
        <v>2</v>
      </c>
      <c r="B3" s="2">
        <v>25</v>
      </c>
      <c r="C3" s="2">
        <v>30</v>
      </c>
      <c r="D3" s="2">
        <v>600</v>
      </c>
      <c r="E3" s="2">
        <v>4</v>
      </c>
      <c r="F3" s="2">
        <v>2</v>
      </c>
      <c r="G3" s="2">
        <v>1</v>
      </c>
      <c r="I3" s="3">
        <v>1</v>
      </c>
      <c r="J3" s="1" t="s">
        <v>27</v>
      </c>
    </row>
    <row r="4" spans="1:11" x14ac:dyDescent="0.3">
      <c r="A4" s="2">
        <v>3</v>
      </c>
      <c r="B4" s="2">
        <v>28</v>
      </c>
      <c r="C4" s="2">
        <v>35</v>
      </c>
      <c r="D4" s="2">
        <v>620</v>
      </c>
      <c r="E4" s="2">
        <v>6</v>
      </c>
      <c r="F4" s="2">
        <v>4</v>
      </c>
      <c r="G4" s="2">
        <v>1</v>
      </c>
      <c r="I4" s="3">
        <v>-1</v>
      </c>
      <c r="J4" s="1" t="s">
        <v>28</v>
      </c>
    </row>
    <row r="5" spans="1:11" x14ac:dyDescent="0.3">
      <c r="A5" s="2">
        <v>4</v>
      </c>
      <c r="B5" s="2">
        <v>32</v>
      </c>
      <c r="C5" s="2">
        <v>45</v>
      </c>
      <c r="D5" s="2">
        <v>650</v>
      </c>
      <c r="E5" s="2">
        <v>5</v>
      </c>
      <c r="F5" s="2">
        <v>7</v>
      </c>
      <c r="G5" s="2" t="s">
        <v>26</v>
      </c>
    </row>
    <row r="6" spans="1:11" x14ac:dyDescent="0.3">
      <c r="A6" s="2">
        <v>5</v>
      </c>
      <c r="B6" s="2">
        <v>35</v>
      </c>
      <c r="C6" s="2">
        <v>50</v>
      </c>
      <c r="D6" s="2">
        <v>670</v>
      </c>
      <c r="E6" s="2">
        <v>7</v>
      </c>
      <c r="F6" s="2">
        <v>9</v>
      </c>
      <c r="G6" s="2" t="s">
        <v>26</v>
      </c>
    </row>
    <row r="7" spans="1:11" x14ac:dyDescent="0.3">
      <c r="A7" s="2">
        <v>6</v>
      </c>
      <c r="B7" s="2">
        <v>40</v>
      </c>
      <c r="C7" s="2">
        <v>55</v>
      </c>
      <c r="D7" s="2">
        <v>690</v>
      </c>
      <c r="E7" s="2">
        <v>6</v>
      </c>
      <c r="F7" s="2">
        <v>12</v>
      </c>
      <c r="G7" s="2" t="s">
        <v>26</v>
      </c>
      <c r="J7" t="s">
        <v>29</v>
      </c>
      <c r="K7" t="s">
        <v>30</v>
      </c>
    </row>
    <row r="8" spans="1:11" x14ac:dyDescent="0.3">
      <c r="A8" s="2">
        <v>7</v>
      </c>
      <c r="B8" s="2">
        <v>45</v>
      </c>
      <c r="C8" s="2">
        <v>60</v>
      </c>
      <c r="D8" s="2">
        <v>710</v>
      </c>
      <c r="E8" s="2">
        <v>8</v>
      </c>
      <c r="F8" s="2">
        <v>15</v>
      </c>
      <c r="G8" s="2" t="s">
        <v>26</v>
      </c>
      <c r="K8" t="s">
        <v>31</v>
      </c>
    </row>
    <row r="9" spans="1:11" x14ac:dyDescent="0.3">
      <c r="A9" s="2">
        <v>8</v>
      </c>
      <c r="B9" s="2">
        <v>48</v>
      </c>
      <c r="C9" s="2">
        <v>65</v>
      </c>
      <c r="D9" s="2">
        <v>720</v>
      </c>
      <c r="E9" s="2">
        <v>9</v>
      </c>
      <c r="F9" s="2">
        <v>18</v>
      </c>
      <c r="G9" s="2" t="s">
        <v>26</v>
      </c>
      <c r="K9" t="s">
        <v>32</v>
      </c>
    </row>
    <row r="10" spans="1:11" x14ac:dyDescent="0.3">
      <c r="A10" s="2">
        <v>9</v>
      </c>
      <c r="B10" s="2">
        <v>52</v>
      </c>
      <c r="C10" s="2">
        <v>70</v>
      </c>
      <c r="D10" s="2">
        <v>740</v>
      </c>
      <c r="E10" s="2">
        <v>10</v>
      </c>
      <c r="F10" s="2">
        <v>20</v>
      </c>
      <c r="G10" s="2" t="s">
        <v>26</v>
      </c>
      <c r="K10" t="s">
        <v>33</v>
      </c>
    </row>
    <row r="11" spans="1:11" x14ac:dyDescent="0.3">
      <c r="A11" s="2">
        <v>10</v>
      </c>
      <c r="B11" s="2">
        <v>55</v>
      </c>
      <c r="C11" s="2">
        <v>80</v>
      </c>
      <c r="D11" s="2">
        <v>760</v>
      </c>
      <c r="E11" s="2">
        <v>12</v>
      </c>
      <c r="F11" s="2">
        <v>25</v>
      </c>
      <c r="G11" s="2" t="s">
        <v>26</v>
      </c>
      <c r="K11" t="s">
        <v>34</v>
      </c>
    </row>
    <row r="12" spans="1:11" x14ac:dyDescent="0.3">
      <c r="J12" t="s">
        <v>35</v>
      </c>
      <c r="K12" t="s">
        <v>36</v>
      </c>
    </row>
    <row r="13" spans="1:11" x14ac:dyDescent="0.3">
      <c r="C13" t="s">
        <v>37</v>
      </c>
      <c r="D13" t="s">
        <v>38</v>
      </c>
    </row>
    <row r="14" spans="1:11" x14ac:dyDescent="0.3">
      <c r="D14" s="4">
        <v>10</v>
      </c>
    </row>
    <row r="15" spans="1:11" x14ac:dyDescent="0.3">
      <c r="D15">
        <f>1/10</f>
        <v>0.1</v>
      </c>
    </row>
    <row r="44" spans="4:11" x14ac:dyDescent="0.3">
      <c r="E44" t="s">
        <v>46</v>
      </c>
      <c r="H44" t="s">
        <v>47</v>
      </c>
    </row>
    <row r="45" spans="4:11" x14ac:dyDescent="0.3">
      <c r="D45" s="2" t="s">
        <v>19</v>
      </c>
      <c r="E45" s="2" t="s">
        <v>25</v>
      </c>
      <c r="F45" s="1" t="s">
        <v>39</v>
      </c>
      <c r="G45" s="2" t="s">
        <v>22</v>
      </c>
      <c r="H45" s="5" t="s">
        <v>45</v>
      </c>
      <c r="I45" s="5" t="s">
        <v>48</v>
      </c>
    </row>
    <row r="46" spans="4:11" x14ac:dyDescent="0.3">
      <c r="D46" s="2">
        <v>1</v>
      </c>
      <c r="E46" s="2">
        <v>1</v>
      </c>
      <c r="F46" s="1">
        <v>0.1</v>
      </c>
      <c r="G46" s="2">
        <v>580</v>
      </c>
      <c r="H46" s="5">
        <v>1</v>
      </c>
      <c r="I46" t="s">
        <v>49</v>
      </c>
    </row>
    <row r="47" spans="4:11" x14ac:dyDescent="0.3">
      <c r="D47" s="2">
        <v>2</v>
      </c>
      <c r="E47" s="2">
        <v>1</v>
      </c>
      <c r="F47" s="1">
        <v>0.1</v>
      </c>
      <c r="G47" s="2">
        <v>600</v>
      </c>
      <c r="H47" s="5">
        <v>1</v>
      </c>
      <c r="I47" t="s">
        <v>49</v>
      </c>
    </row>
    <row r="48" spans="4:11" x14ac:dyDescent="0.3">
      <c r="D48" s="2">
        <v>3</v>
      </c>
      <c r="E48" s="2">
        <v>1</v>
      </c>
      <c r="F48" s="1">
        <v>0.1</v>
      </c>
      <c r="G48" s="2">
        <v>620</v>
      </c>
      <c r="H48" s="5">
        <v>1</v>
      </c>
      <c r="I48" t="s">
        <v>49</v>
      </c>
      <c r="K48" t="s">
        <v>40</v>
      </c>
    </row>
    <row r="49" spans="4:11" x14ac:dyDescent="0.3">
      <c r="D49" s="2">
        <v>4</v>
      </c>
      <c r="E49" s="2" t="s">
        <v>26</v>
      </c>
      <c r="F49" s="1">
        <v>0.1</v>
      </c>
      <c r="G49" s="2">
        <v>650</v>
      </c>
      <c r="H49" s="4">
        <v>-1</v>
      </c>
      <c r="I49" t="s">
        <v>49</v>
      </c>
      <c r="K49" t="s">
        <v>41</v>
      </c>
    </row>
    <row r="50" spans="4:11" x14ac:dyDescent="0.3">
      <c r="D50" s="2">
        <v>5</v>
      </c>
      <c r="E50" s="2" t="s">
        <v>26</v>
      </c>
      <c r="F50" s="1">
        <v>0.1</v>
      </c>
      <c r="G50" s="2">
        <v>670</v>
      </c>
      <c r="H50" s="4">
        <v>-1</v>
      </c>
      <c r="I50" t="s">
        <v>49</v>
      </c>
    </row>
    <row r="51" spans="4:11" x14ac:dyDescent="0.3">
      <c r="D51" s="2">
        <v>6</v>
      </c>
      <c r="E51" s="2">
        <v>1</v>
      </c>
      <c r="F51" s="1">
        <v>0.1</v>
      </c>
      <c r="G51" s="2">
        <v>690</v>
      </c>
      <c r="H51" s="4">
        <v>-1</v>
      </c>
      <c r="I51" t="s">
        <v>50</v>
      </c>
      <c r="K51" t="s">
        <v>42</v>
      </c>
    </row>
    <row r="52" spans="4:11" x14ac:dyDescent="0.3">
      <c r="D52" s="2">
        <v>7</v>
      </c>
      <c r="E52" s="2" t="s">
        <v>26</v>
      </c>
      <c r="F52" s="1">
        <v>0.1</v>
      </c>
      <c r="G52" s="2">
        <v>710</v>
      </c>
      <c r="H52" s="4">
        <v>-1</v>
      </c>
      <c r="I52" t="s">
        <v>49</v>
      </c>
      <c r="K52" t="s">
        <v>43</v>
      </c>
    </row>
    <row r="53" spans="4:11" x14ac:dyDescent="0.3">
      <c r="D53" s="2">
        <v>8</v>
      </c>
      <c r="E53" s="2" t="s">
        <v>26</v>
      </c>
      <c r="F53" s="1">
        <v>0.1</v>
      </c>
      <c r="G53" s="2">
        <v>720</v>
      </c>
      <c r="H53" s="4">
        <v>-1</v>
      </c>
      <c r="I53" t="s">
        <v>49</v>
      </c>
      <c r="K53" t="s">
        <v>44</v>
      </c>
    </row>
    <row r="54" spans="4:11" x14ac:dyDescent="0.3">
      <c r="D54" s="2">
        <v>9</v>
      </c>
      <c r="E54" s="2" t="s">
        <v>26</v>
      </c>
      <c r="F54" s="1">
        <v>0.1</v>
      </c>
      <c r="G54" s="2">
        <v>740</v>
      </c>
      <c r="H54" s="4">
        <v>-1</v>
      </c>
      <c r="I54" t="s">
        <v>49</v>
      </c>
    </row>
    <row r="55" spans="4:11" x14ac:dyDescent="0.3">
      <c r="D55" s="2">
        <v>10</v>
      </c>
      <c r="E55" s="2" t="s">
        <v>26</v>
      </c>
      <c r="F55" s="1">
        <v>0.1</v>
      </c>
      <c r="G55" s="2">
        <v>760</v>
      </c>
      <c r="H55" s="4">
        <v>-1</v>
      </c>
      <c r="I55" t="s">
        <v>49</v>
      </c>
    </row>
    <row r="59" spans="4:11" x14ac:dyDescent="0.3">
      <c r="F59">
        <v>10</v>
      </c>
    </row>
    <row r="60" spans="4:11" x14ac:dyDescent="0.3">
      <c r="F60">
        <v>1</v>
      </c>
      <c r="G60">
        <v>9</v>
      </c>
    </row>
    <row r="62" spans="4:11" x14ac:dyDescent="0.3">
      <c r="F62" t="s">
        <v>51</v>
      </c>
      <c r="G62">
        <v>0.1</v>
      </c>
    </row>
    <row r="63" spans="4:11" x14ac:dyDescent="0.3">
      <c r="F63" t="s">
        <v>52</v>
      </c>
      <c r="H63">
        <f>1-0.1</f>
        <v>0.9</v>
      </c>
    </row>
    <row r="73" spans="5:8" x14ac:dyDescent="0.3">
      <c r="E73" t="s">
        <v>53</v>
      </c>
    </row>
    <row r="74" spans="5:8" x14ac:dyDescent="0.3">
      <c r="E74" t="s">
        <v>54</v>
      </c>
    </row>
    <row r="77" spans="5:8" x14ac:dyDescent="0.3">
      <c r="F77">
        <f>1-0.1</f>
        <v>0.9</v>
      </c>
      <c r="H77">
        <f>F77/F78</f>
        <v>9</v>
      </c>
    </row>
    <row r="78" spans="5:8" x14ac:dyDescent="0.3">
      <c r="F78">
        <v>0.1</v>
      </c>
      <c r="H78">
        <f>LN(H77)</f>
        <v>2.1972245773362196</v>
      </c>
    </row>
    <row r="79" spans="5:8" x14ac:dyDescent="0.3">
      <c r="H79">
        <f>H78/2</f>
        <v>1.0986122886681098</v>
      </c>
    </row>
    <row r="81" spans="5:5" x14ac:dyDescent="0.3">
      <c r="E81" t="s">
        <v>55</v>
      </c>
    </row>
    <row r="82" spans="5:5" x14ac:dyDescent="0.3">
      <c r="E82" t="s">
        <v>56</v>
      </c>
    </row>
    <row r="127" spans="8:8" x14ac:dyDescent="0.3">
      <c r="H127" t="s">
        <v>57</v>
      </c>
    </row>
    <row r="129" spans="5:12" x14ac:dyDescent="0.3">
      <c r="H129">
        <f>POWER(2.71,1.08)</f>
        <v>2.9349914075150263</v>
      </c>
      <c r="J129" t="s">
        <v>58</v>
      </c>
      <c r="L129">
        <v>-1</v>
      </c>
    </row>
    <row r="130" spans="5:12" x14ac:dyDescent="0.3">
      <c r="H130">
        <f>POWER(2.71,-1.08)</f>
        <v>0.3407165000345509</v>
      </c>
      <c r="J130" t="s">
        <v>59</v>
      </c>
      <c r="L130">
        <v>1</v>
      </c>
    </row>
    <row r="132" spans="5:12" x14ac:dyDescent="0.3">
      <c r="G132" s="6">
        <f>H129*0.1</f>
        <v>0.29349914075150263</v>
      </c>
    </row>
    <row r="133" spans="5:12" x14ac:dyDescent="0.3">
      <c r="G133" s="6">
        <f>H130*0.1</f>
        <v>3.4071650003455092E-2</v>
      </c>
    </row>
    <row r="139" spans="5:12" x14ac:dyDescent="0.3">
      <c r="E139" s="2" t="s">
        <v>19</v>
      </c>
      <c r="F139" s="2" t="s">
        <v>25</v>
      </c>
      <c r="G139" s="1" t="s">
        <v>39</v>
      </c>
      <c r="H139" s="2" t="s">
        <v>22</v>
      </c>
      <c r="I139" s="5" t="s">
        <v>45</v>
      </c>
      <c r="J139" s="5" t="s">
        <v>60</v>
      </c>
    </row>
    <row r="140" spans="5:12" x14ac:dyDescent="0.3">
      <c r="E140" s="2">
        <v>1</v>
      </c>
      <c r="F140" s="2">
        <v>1</v>
      </c>
      <c r="G140" s="1">
        <v>0.1</v>
      </c>
      <c r="H140" s="2">
        <v>580</v>
      </c>
      <c r="I140" s="5">
        <v>1</v>
      </c>
      <c r="J140" s="6">
        <v>0.03</v>
      </c>
      <c r="K140">
        <f>J140/SUM($J$140:$J$149)</f>
        <v>5.323876795977172E-2</v>
      </c>
    </row>
    <row r="141" spans="5:12" x14ac:dyDescent="0.3">
      <c r="E141" s="2">
        <v>2</v>
      </c>
      <c r="F141" s="2">
        <v>1</v>
      </c>
      <c r="G141" s="1">
        <v>0.1</v>
      </c>
      <c r="H141" s="2">
        <v>600</v>
      </c>
      <c r="I141" s="5">
        <v>1</v>
      </c>
      <c r="J141" s="6">
        <v>0.03</v>
      </c>
      <c r="K141">
        <f t="shared" ref="K141:K149" si="0">J141/SUM($J$140:$J$149)</f>
        <v>5.323876795977172E-2</v>
      </c>
    </row>
    <row r="142" spans="5:12" x14ac:dyDescent="0.3">
      <c r="E142" s="2">
        <v>3</v>
      </c>
      <c r="F142" s="2">
        <v>1</v>
      </c>
      <c r="G142" s="1">
        <v>0.1</v>
      </c>
      <c r="H142" s="2">
        <v>620</v>
      </c>
      <c r="I142" s="5">
        <v>1</v>
      </c>
      <c r="J142" s="6">
        <v>0.03</v>
      </c>
      <c r="K142">
        <f t="shared" si="0"/>
        <v>5.323876795977172E-2</v>
      </c>
    </row>
    <row r="143" spans="5:12" x14ac:dyDescent="0.3">
      <c r="E143" s="2">
        <v>4</v>
      </c>
      <c r="F143" s="2" t="s">
        <v>26</v>
      </c>
      <c r="G143" s="1">
        <v>0.1</v>
      </c>
      <c r="H143" s="2">
        <v>650</v>
      </c>
      <c r="I143" s="4">
        <v>-1</v>
      </c>
      <c r="J143" s="6">
        <v>0.03</v>
      </c>
      <c r="K143">
        <f t="shared" si="0"/>
        <v>5.323876795977172E-2</v>
      </c>
    </row>
    <row r="144" spans="5:12" x14ac:dyDescent="0.3">
      <c r="E144" s="2">
        <v>5</v>
      </c>
      <c r="F144" s="2" t="s">
        <v>26</v>
      </c>
      <c r="G144" s="1">
        <v>0.1</v>
      </c>
      <c r="H144" s="2">
        <v>670</v>
      </c>
      <c r="I144" s="4">
        <v>-1</v>
      </c>
      <c r="J144" s="6">
        <v>0.03</v>
      </c>
      <c r="K144">
        <f t="shared" si="0"/>
        <v>5.323876795977172E-2</v>
      </c>
    </row>
    <row r="145" spans="5:11" x14ac:dyDescent="0.3">
      <c r="E145" s="2">
        <v>6</v>
      </c>
      <c r="F145" s="2">
        <v>1</v>
      </c>
      <c r="G145" s="1">
        <v>0.1</v>
      </c>
      <c r="H145" s="2">
        <v>690</v>
      </c>
      <c r="I145" s="4">
        <v>-1</v>
      </c>
      <c r="J145" s="6">
        <v>0.29349914075150263</v>
      </c>
      <c r="K145">
        <f t="shared" si="0"/>
        <v>0.52085108836205429</v>
      </c>
    </row>
    <row r="146" spans="5:11" x14ac:dyDescent="0.3">
      <c r="E146" s="2">
        <v>7</v>
      </c>
      <c r="F146" s="2" t="s">
        <v>26</v>
      </c>
      <c r="G146" s="1">
        <v>0.1</v>
      </c>
      <c r="H146" s="2">
        <v>710</v>
      </c>
      <c r="I146" s="4">
        <v>-1</v>
      </c>
      <c r="J146" s="6">
        <v>0.03</v>
      </c>
      <c r="K146">
        <f t="shared" si="0"/>
        <v>5.323876795977172E-2</v>
      </c>
    </row>
    <row r="147" spans="5:11" x14ac:dyDescent="0.3">
      <c r="E147" s="2">
        <v>8</v>
      </c>
      <c r="F147" s="2" t="s">
        <v>26</v>
      </c>
      <c r="G147" s="1">
        <v>0.1</v>
      </c>
      <c r="H147" s="2">
        <v>720</v>
      </c>
      <c r="I147" s="4">
        <v>-1</v>
      </c>
      <c r="J147" s="6">
        <v>0.03</v>
      </c>
      <c r="K147">
        <f t="shared" si="0"/>
        <v>5.323876795977172E-2</v>
      </c>
    </row>
    <row r="148" spans="5:11" x14ac:dyDescent="0.3">
      <c r="E148" s="2">
        <v>9</v>
      </c>
      <c r="F148" s="2" t="s">
        <v>26</v>
      </c>
      <c r="G148" s="1">
        <v>0.1</v>
      </c>
      <c r="H148" s="2">
        <v>740</v>
      </c>
      <c r="I148" s="4">
        <v>-1</v>
      </c>
      <c r="J148" s="6">
        <v>0.03</v>
      </c>
      <c r="K148">
        <f t="shared" si="0"/>
        <v>5.323876795977172E-2</v>
      </c>
    </row>
    <row r="149" spans="5:11" x14ac:dyDescent="0.3">
      <c r="E149" s="2">
        <v>10</v>
      </c>
      <c r="F149" s="2" t="s">
        <v>26</v>
      </c>
      <c r="G149" s="1">
        <v>0.1</v>
      </c>
      <c r="H149" s="2">
        <v>760</v>
      </c>
      <c r="I149" s="4">
        <v>-1</v>
      </c>
      <c r="J149" s="6">
        <v>0.03</v>
      </c>
      <c r="K149">
        <f t="shared" si="0"/>
        <v>5.323876795977172E-2</v>
      </c>
    </row>
    <row r="154" spans="5:11" x14ac:dyDescent="0.3">
      <c r="E154" t="s">
        <v>61</v>
      </c>
    </row>
    <row r="161" spans="12:14" x14ac:dyDescent="0.3">
      <c r="M161">
        <f>0.0556+0.05556</f>
        <v>0.11115999999999999</v>
      </c>
    </row>
    <row r="164" spans="12:14" x14ac:dyDescent="0.3">
      <c r="M164">
        <f>1-M161</f>
        <v>0.88883999999999996</v>
      </c>
    </row>
    <row r="165" spans="12:14" x14ac:dyDescent="0.3">
      <c r="M165">
        <f>M164/M161</f>
        <v>7.9960417416336815</v>
      </c>
    </row>
    <row r="166" spans="12:14" x14ac:dyDescent="0.3">
      <c r="M166">
        <f>LN(M165)</f>
        <v>2.0789466369388951</v>
      </c>
    </row>
    <row r="167" spans="12:14" x14ac:dyDescent="0.3">
      <c r="M167">
        <f>M166/2</f>
        <v>1.0394733184694476</v>
      </c>
    </row>
    <row r="170" spans="12:14" x14ac:dyDescent="0.3">
      <c r="L170" t="s">
        <v>62</v>
      </c>
    </row>
    <row r="172" spans="12:14" x14ac:dyDescent="0.3">
      <c r="M172">
        <f>POWER(2.71,M167)</f>
        <v>2.8187724981839573</v>
      </c>
      <c r="N172" t="s">
        <v>57</v>
      </c>
    </row>
    <row r="173" spans="12:14" x14ac:dyDescent="0.3">
      <c r="M173">
        <f>POWER(2.71,-M167)</f>
        <v>0.35476435244215959</v>
      </c>
      <c r="N173" t="s">
        <v>63</v>
      </c>
    </row>
    <row r="230" spans="16:21" x14ac:dyDescent="0.3">
      <c r="P230" t="s">
        <v>64</v>
      </c>
    </row>
    <row r="231" spans="16:21" x14ac:dyDescent="0.3">
      <c r="P231" t="s">
        <v>65</v>
      </c>
    </row>
    <row r="232" spans="16:21" x14ac:dyDescent="0.3">
      <c r="P232" t="s">
        <v>66</v>
      </c>
    </row>
    <row r="233" spans="16:21" x14ac:dyDescent="0.3">
      <c r="P233" t="s">
        <v>67</v>
      </c>
    </row>
    <row r="235" spans="16:21" x14ac:dyDescent="0.3">
      <c r="Q235" t="s">
        <v>68</v>
      </c>
    </row>
    <row r="236" spans="16:21" x14ac:dyDescent="0.3">
      <c r="Q236" t="s">
        <v>69</v>
      </c>
    </row>
    <row r="237" spans="16:21" x14ac:dyDescent="0.3">
      <c r="Q237" t="s">
        <v>70</v>
      </c>
      <c r="T237" t="s">
        <v>74</v>
      </c>
      <c r="U237">
        <v>1</v>
      </c>
    </row>
    <row r="238" spans="16:21" x14ac:dyDescent="0.3">
      <c r="Q238" t="s">
        <v>71</v>
      </c>
      <c r="T238" t="s">
        <v>75</v>
      </c>
      <c r="U238">
        <v>-1</v>
      </c>
    </row>
    <row r="240" spans="16:21" x14ac:dyDescent="0.3">
      <c r="S240" t="s">
        <v>72</v>
      </c>
      <c r="U240">
        <v>1</v>
      </c>
    </row>
    <row r="242" spans="19:21" x14ac:dyDescent="0.3">
      <c r="S242">
        <f>1.098-1.0397+0.8</f>
        <v>0.85830000000000006</v>
      </c>
      <c r="U242" t="s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2026-10-07T04:05:43Z</dcterms:created>
  <dcterms:modified xsi:type="dcterms:W3CDTF">2026-10-07T04:54:36Z</dcterms:modified>
</cp:coreProperties>
</file>